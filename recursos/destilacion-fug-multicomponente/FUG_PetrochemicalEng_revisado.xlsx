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alejandro_romerol_udlap_mx/Documents/UDLAP/Otoño 2026/Ingeniería de Procesos Petroquímicos/"/>
    </mc:Choice>
  </mc:AlternateContent>
  <xr:revisionPtr revIDLastSave="2473" documentId="8_{2BEB83BF-1AC3-4A35-A414-E717E4B0B63E}" xr6:coauthVersionLast="47" xr6:coauthVersionMax="47" xr10:uidLastSave="{B0CB9B72-E29F-43CE-A8F3-35F93D025B5C}"/>
  <bookViews>
    <workbookView xWindow="-120" yWindow="-120" windowWidth="29040" windowHeight="15720" tabRatio="806" xr2:uid="{69E3BF67-E953-4A16-B52F-B662C548349F}"/>
  </bookViews>
  <sheets>
    <sheet name="FUG mezcla 5" sheetId="8" r:id="rId1"/>
    <sheet name="Sheet1" sheetId="9" r:id="rId2"/>
    <sheet name="FUG Alcoholes" sheetId="3" r:id="rId3"/>
  </sheets>
  <definedNames>
    <definedName name="solver_adj" localSheetId="2" hidden="1">'FUG Alcoholes'!$AD$9:$AD$10</definedName>
    <definedName name="solver_adj" localSheetId="0" hidden="1">'FUG mezcla 5'!$AD$9:$AD$10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lhs1" localSheetId="2" hidden="1">'FUG Alcoholes'!$AC$10</definedName>
    <definedName name="solver_lhs1" localSheetId="0" hidden="1">'FUG mezcla 5'!$AC$10</definedName>
    <definedName name="solver_lhs2" localSheetId="2" hidden="1">'FUG Alcoholes'!$B$42</definedName>
    <definedName name="solver_lhs2" localSheetId="0" hidden="1">'FUG mezcla 5'!$B$42</definedName>
    <definedName name="solver_lhs3" localSheetId="2" hidden="1">'FUG Alcoholes'!$E$42</definedName>
    <definedName name="solver_lhs3" localSheetId="0" hidden="1">'FUG mezcla 5'!$E$42</definedName>
    <definedName name="solver_lhs4" localSheetId="2" hidden="1">'FUG Alcoholes'!$E$42</definedName>
    <definedName name="solver_lhs4" localSheetId="0" hidden="1">'FUG mezcla 5'!$E$42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2" hidden="1">1</definedName>
    <definedName name="solver_num" localSheetId="0" hidden="1">1</definedName>
    <definedName name="solver_nwt" localSheetId="2" hidden="1">1</definedName>
    <definedName name="solver_nwt" localSheetId="0" hidden="1">1</definedName>
    <definedName name="solver_opt" localSheetId="2" hidden="1">'FUG Alcoholes'!$AC$9</definedName>
    <definedName name="solver_opt" localSheetId="0" hidden="1">'FUG mezcla 5'!$AC$9</definedName>
    <definedName name="solver_pre" localSheetId="2" hidden="1">0.000001</definedName>
    <definedName name="solver_pre" localSheetId="0" hidden="1">0.000001</definedName>
    <definedName name="solver_rbv" localSheetId="2" hidden="1">1</definedName>
    <definedName name="solver_rbv" localSheetId="0" hidden="1">1</definedName>
    <definedName name="solver_rel1" localSheetId="2" hidden="1">2</definedName>
    <definedName name="solver_rel1" localSheetId="0" hidden="1">2</definedName>
    <definedName name="solver_rel2" localSheetId="2" hidden="1">2</definedName>
    <definedName name="solver_rel2" localSheetId="0" hidden="1">2</definedName>
    <definedName name="solver_rel3" localSheetId="2" hidden="1">1</definedName>
    <definedName name="solver_rel3" localSheetId="0" hidden="1">1</definedName>
    <definedName name="solver_rel4" localSheetId="2" hidden="1">3</definedName>
    <definedName name="solver_rel4" localSheetId="0" hidden="1">3</definedName>
    <definedName name="solver_rhs1" localSheetId="2" hidden="1">1</definedName>
    <definedName name="solver_rhs1" localSheetId="0" hidden="1">1</definedName>
    <definedName name="solver_rhs2" localSheetId="2" hidden="1">1</definedName>
    <definedName name="solver_rhs2" localSheetId="0" hidden="1">1</definedName>
    <definedName name="solver_rhs3" localSheetId="2" hidden="1">'FUG Alcoholes'!$R$42</definedName>
    <definedName name="solver_rhs3" localSheetId="0" hidden="1">'FUG mezcla 5'!$R$42</definedName>
    <definedName name="solver_rhs4" localSheetId="2" hidden="1">'FUG Alcoholes'!$R$43</definedName>
    <definedName name="solver_rhs4" localSheetId="0" hidden="1">'FUG mezcla 5'!$R$43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3</definedName>
    <definedName name="solver_typ" localSheetId="0" hidden="1">3</definedName>
    <definedName name="solver_val" localSheetId="2" hidden="1">1</definedName>
    <definedName name="solver_val" localSheetId="0" hidden="1">1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8" l="1"/>
  <c r="W41" i="8"/>
  <c r="M33" i="8"/>
  <c r="L31" i="8"/>
  <c r="AE9" i="8"/>
  <c r="X9" i="8"/>
  <c r="L23" i="8"/>
  <c r="S9" i="8"/>
  <c r="C13" i="9"/>
  <c r="F2" i="9"/>
  <c r="X42" i="8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Q32" i="8"/>
  <c r="Q33" i="8" s="1"/>
  <c r="C32" i="8"/>
  <c r="C31" i="8"/>
  <c r="C27" i="8"/>
  <c r="Q25" i="8"/>
  <c r="Q26" i="8" s="1"/>
  <c r="C19" i="8"/>
  <c r="H23" i="8" s="1"/>
  <c r="C35" i="8" s="1"/>
  <c r="C18" i="8"/>
  <c r="C17" i="8"/>
  <c r="H14" i="8" s="1"/>
  <c r="H15" i="8" s="1"/>
  <c r="C16" i="8"/>
  <c r="H22" i="8" s="1"/>
  <c r="C24" i="8" s="1"/>
  <c r="C15" i="8"/>
  <c r="H21" i="8" s="1"/>
  <c r="C23" i="8" s="1"/>
  <c r="V14" i="8"/>
  <c r="C13" i="8"/>
  <c r="H17" i="8" s="1"/>
  <c r="H18" i="8" s="1"/>
  <c r="AI10" i="8"/>
  <c r="AH10" i="8"/>
  <c r="AM10" i="8" s="1"/>
  <c r="N34" i="8" s="1"/>
  <c r="O43" i="8" s="1"/>
  <c r="AG10" i="8"/>
  <c r="AF10" i="8"/>
  <c r="AK10" i="8" s="1"/>
  <c r="N32" i="8" s="1"/>
  <c r="AE10" i="8"/>
  <c r="AJ10" i="8" s="1"/>
  <c r="N31" i="8" s="1"/>
  <c r="AI9" i="8"/>
  <c r="AN9" i="8" s="1"/>
  <c r="N27" i="8" s="1"/>
  <c r="AH9" i="8"/>
  <c r="AG9" i="8"/>
  <c r="AL9" i="8" s="1"/>
  <c r="N25" i="8" s="1"/>
  <c r="AF9" i="8"/>
  <c r="AK9" i="8" s="1"/>
  <c r="N24" i="8" s="1"/>
  <c r="AJ9" i="8"/>
  <c r="N23" i="8" s="1"/>
  <c r="F2" i="8"/>
  <c r="AN10" i="8" l="1"/>
  <c r="N35" i="8" s="1"/>
  <c r="O44" i="8" s="1"/>
  <c r="AM9" i="8"/>
  <c r="N26" i="8" s="1"/>
  <c r="K43" i="8" s="1"/>
  <c r="R43" i="8" s="1"/>
  <c r="G45" i="8" s="1"/>
  <c r="AL10" i="8"/>
  <c r="N33" i="8" s="1"/>
  <c r="O42" i="8" s="1"/>
  <c r="C26" i="8"/>
  <c r="O41" i="8"/>
  <c r="O40" i="8"/>
  <c r="K40" i="8" l="1"/>
  <c r="R40" i="8" s="1"/>
  <c r="K44" i="8"/>
  <c r="R44" i="8" s="1"/>
  <c r="G46" i="8" s="1"/>
  <c r="K42" i="8"/>
  <c r="R42" i="8" s="1"/>
  <c r="G44" i="8" s="1"/>
  <c r="K41" i="8"/>
  <c r="R41" i="8" s="1"/>
  <c r="G43" i="8" s="1"/>
  <c r="C34" i="8"/>
  <c r="H25" i="8"/>
  <c r="C25" i="8"/>
  <c r="G42" i="8" l="1"/>
  <c r="G48" i="8" s="1"/>
  <c r="B42" i="8"/>
  <c r="F35" i="8"/>
  <c r="F34" i="8"/>
  <c r="W46" i="8"/>
  <c r="W50" i="8"/>
  <c r="W42" i="8"/>
  <c r="W45" i="8"/>
  <c r="W54" i="8"/>
  <c r="W56" i="8"/>
  <c r="W58" i="8"/>
  <c r="W60" i="8"/>
  <c r="W57" i="8"/>
  <c r="W43" i="8"/>
  <c r="W49" i="8"/>
  <c r="W44" i="8"/>
  <c r="W52" i="8"/>
  <c r="W51" i="8"/>
  <c r="W55" i="8"/>
  <c r="W48" i="8"/>
  <c r="W59" i="8"/>
  <c r="W53" i="8"/>
  <c r="W47" i="8"/>
  <c r="L27" i="8"/>
  <c r="L24" i="8"/>
  <c r="L25" i="8"/>
  <c r="C28" i="8"/>
  <c r="H26" i="8"/>
  <c r="C33" i="8"/>
  <c r="L26" i="8"/>
  <c r="V9" i="8" l="1"/>
  <c r="AA9" i="8" s="1"/>
  <c r="M26" i="8"/>
  <c r="L33" i="8"/>
  <c r="C36" i="8"/>
  <c r="H27" i="8"/>
  <c r="L32" i="8"/>
  <c r="L35" i="8"/>
  <c r="L34" i="8"/>
  <c r="U9" i="8"/>
  <c r="Z9" i="8" s="1"/>
  <c r="M25" i="8"/>
  <c r="T9" i="8"/>
  <c r="Y9" i="8" s="1"/>
  <c r="M24" i="8"/>
  <c r="W9" i="8"/>
  <c r="AB9" i="8" s="1"/>
  <c r="M27" i="8"/>
  <c r="M23" i="8"/>
  <c r="B43" i="8"/>
  <c r="B44" i="8" s="1"/>
  <c r="C39" i="8" l="1"/>
  <c r="C40" i="8" s="1"/>
  <c r="B47" i="8"/>
  <c r="D47" i="8" s="1"/>
  <c r="AC9" i="8"/>
  <c r="T10" i="8"/>
  <c r="Y10" i="8" s="1"/>
  <c r="M32" i="8"/>
  <c r="M35" i="8"/>
  <c r="W10" i="8"/>
  <c r="AB10" i="8" s="1"/>
  <c r="M31" i="8"/>
  <c r="S10" i="8"/>
  <c r="X10" i="8" s="1"/>
  <c r="U10" i="8"/>
  <c r="Z10" i="8" s="1"/>
  <c r="B49" i="8"/>
  <c r="V10" i="8"/>
  <c r="AA10" i="8" s="1"/>
  <c r="M34" i="8"/>
  <c r="B50" i="8" l="1"/>
  <c r="AC10" i="8"/>
  <c r="B51" i="8" l="1"/>
  <c r="D50" i="8"/>
  <c r="X43" i="3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42" i="3"/>
  <c r="AI10" i="3"/>
  <c r="AH10" i="3"/>
  <c r="AG10" i="3"/>
  <c r="AF10" i="3"/>
  <c r="AE10" i="3"/>
  <c r="AE9" i="3"/>
  <c r="AI9" i="3"/>
  <c r="AH9" i="3"/>
  <c r="AG9" i="3"/>
  <c r="AF9" i="3"/>
  <c r="C17" i="3"/>
  <c r="C13" i="3" l="1"/>
  <c r="G11" i="3"/>
  <c r="V14" i="3"/>
  <c r="C32" i="3"/>
  <c r="C31" i="3"/>
  <c r="C27" i="3"/>
  <c r="H23" i="3"/>
  <c r="C35" i="3" s="1"/>
  <c r="C16" i="3"/>
  <c r="H22" i="3" s="1"/>
  <c r="C24" i="3" s="1"/>
  <c r="C18" i="3"/>
  <c r="C19" i="3"/>
  <c r="C15" i="3"/>
  <c r="H21" i="3" s="1"/>
  <c r="C23" i="3" s="1"/>
  <c r="F2" i="3"/>
  <c r="Q32" i="3"/>
  <c r="Q33" i="3" s="1"/>
  <c r="Q25" i="3"/>
  <c r="Q26" i="3" s="1"/>
  <c r="AK10" i="3" l="1"/>
  <c r="N32" i="3" s="1"/>
  <c r="AM10" i="3"/>
  <c r="N34" i="3" s="1"/>
  <c r="O43" i="3" s="1"/>
  <c r="AJ10" i="3"/>
  <c r="N31" i="3" s="1"/>
  <c r="AN10" i="3"/>
  <c r="N35" i="3" s="1"/>
  <c r="AL10" i="3"/>
  <c r="N33" i="3" s="1"/>
  <c r="AK9" i="3"/>
  <c r="N24" i="3" s="1"/>
  <c r="AJ9" i="3"/>
  <c r="AN9" i="3"/>
  <c r="N27" i="3" s="1"/>
  <c r="AL9" i="3"/>
  <c r="N25" i="3" s="1"/>
  <c r="AM9" i="3"/>
  <c r="N26" i="3" s="1"/>
  <c r="K43" i="3" s="1"/>
  <c r="H14" i="3"/>
  <c r="C25" i="3" s="1"/>
  <c r="H17" i="3"/>
  <c r="N23" i="3"/>
  <c r="K40" i="3" s="1"/>
  <c r="K44" i="3" l="1"/>
  <c r="R43" i="3"/>
  <c r="O44" i="3"/>
  <c r="K41" i="3"/>
  <c r="O40" i="3"/>
  <c r="R40" i="3" s="1"/>
  <c r="O42" i="3"/>
  <c r="K42" i="3"/>
  <c r="O41" i="3"/>
  <c r="H15" i="3"/>
  <c r="C33" i="3" s="1"/>
  <c r="H25" i="3"/>
  <c r="L25" i="3" s="1"/>
  <c r="C26" i="3"/>
  <c r="H18" i="3"/>
  <c r="R41" i="3" l="1"/>
  <c r="R44" i="3"/>
  <c r="R42" i="3"/>
  <c r="H26" i="3"/>
  <c r="C34" i="3"/>
  <c r="C36" i="3" s="1"/>
  <c r="C28" i="3"/>
  <c r="L26" i="3"/>
  <c r="L27" i="3"/>
  <c r="M25" i="3"/>
  <c r="L24" i="3"/>
  <c r="L23" i="3"/>
  <c r="W60" i="3" l="1"/>
  <c r="W54" i="3"/>
  <c r="W55" i="3"/>
  <c r="W42" i="3"/>
  <c r="W57" i="3"/>
  <c r="B42" i="3"/>
  <c r="W44" i="3"/>
  <c r="W43" i="3"/>
  <c r="W53" i="3"/>
  <c r="W61" i="3"/>
  <c r="W59" i="3"/>
  <c r="W41" i="3"/>
  <c r="B43" i="3"/>
  <c r="B44" i="3" s="1"/>
  <c r="W56" i="3"/>
  <c r="W58" i="3"/>
  <c r="W51" i="3"/>
  <c r="W52" i="3"/>
  <c r="W45" i="3"/>
  <c r="M23" i="3"/>
  <c r="S9" i="3"/>
  <c r="X9" i="3" s="1"/>
  <c r="W9" i="3"/>
  <c r="AB9" i="3" s="1"/>
  <c r="M27" i="3"/>
  <c r="U9" i="3"/>
  <c r="Z9" i="3" s="1"/>
  <c r="L35" i="3"/>
  <c r="H27" i="3"/>
  <c r="L31" i="3"/>
  <c r="S10" i="3" s="1"/>
  <c r="L34" i="3"/>
  <c r="L32" i="3"/>
  <c r="T10" i="3" s="1"/>
  <c r="L33" i="3"/>
  <c r="B49" i="3" s="1"/>
  <c r="T9" i="3"/>
  <c r="Y9" i="3" s="1"/>
  <c r="M24" i="3"/>
  <c r="V9" i="3"/>
  <c r="AA9" i="3" s="1"/>
  <c r="M26" i="3"/>
  <c r="V10" i="3" l="1"/>
  <c r="C39" i="3"/>
  <c r="U10" i="3"/>
  <c r="Z10" i="3" s="1"/>
  <c r="W46" i="3"/>
  <c r="AC9" i="3"/>
  <c r="W10" i="3"/>
  <c r="AB10" i="3" s="1"/>
  <c r="M35" i="3"/>
  <c r="AA10" i="3"/>
  <c r="M34" i="3"/>
  <c r="M33" i="3"/>
  <c r="Y10" i="3"/>
  <c r="M32" i="3"/>
  <c r="X10" i="3"/>
  <c r="M31" i="3"/>
  <c r="B47" i="3" l="1"/>
  <c r="B50" i="3" s="1"/>
  <c r="D50" i="3" s="1"/>
  <c r="C40" i="3"/>
  <c r="W47" i="3"/>
  <c r="AC10" i="3"/>
  <c r="B51" i="3"/>
  <c r="W48" i="3" l="1"/>
  <c r="W49" i="3" l="1"/>
  <c r="W50" i="3" l="1"/>
</calcChain>
</file>

<file path=xl/sharedStrings.xml><?xml version="1.0" encoding="utf-8"?>
<sst xmlns="http://schemas.openxmlformats.org/spreadsheetml/2006/main" count="417" uniqueCount="143">
  <si>
    <t>P</t>
  </si>
  <si>
    <t>atm</t>
  </si>
  <si>
    <t>F</t>
  </si>
  <si>
    <t>kmol/h</t>
  </si>
  <si>
    <t>q</t>
  </si>
  <si>
    <t>R/Rmin</t>
  </si>
  <si>
    <t>z</t>
  </si>
  <si>
    <t>LK</t>
  </si>
  <si>
    <t>HK</t>
  </si>
  <si>
    <t>f_LK</t>
  </si>
  <si>
    <t>f_HK</t>
  </si>
  <si>
    <t>Recuperación en el destilado</t>
  </si>
  <si>
    <t>D_LK</t>
  </si>
  <si>
    <t>F_LK</t>
  </si>
  <si>
    <t>F_HK</t>
  </si>
  <si>
    <t>D_HK</t>
  </si>
  <si>
    <t>D</t>
  </si>
  <si>
    <t>B</t>
  </si>
  <si>
    <t>x_D</t>
  </si>
  <si>
    <t>x_B</t>
  </si>
  <si>
    <t>D [kmol/h]</t>
  </si>
  <si>
    <t>F [kmol/h]</t>
  </si>
  <si>
    <t>B [kmol/h]</t>
  </si>
  <si>
    <t>Destilado</t>
  </si>
  <si>
    <t>Punto Burbuja</t>
  </si>
  <si>
    <t>°C</t>
  </si>
  <si>
    <t>K</t>
  </si>
  <si>
    <t>y_D</t>
  </si>
  <si>
    <t>y_B</t>
  </si>
  <si>
    <t>K_D</t>
  </si>
  <si>
    <t>K_B</t>
  </si>
  <si>
    <t xml:space="preserve"> </t>
  </si>
  <si>
    <t>Volatilidad relativa destilados</t>
  </si>
  <si>
    <t>Volatilidad relativa fondos</t>
  </si>
  <si>
    <t>Volatilidad relativa promedio</t>
  </si>
  <si>
    <t>Fondos</t>
  </si>
  <si>
    <t>Ec. De Fenske</t>
  </si>
  <si>
    <t>Ec. De Underwood</t>
  </si>
  <si>
    <t>Theta</t>
  </si>
  <si>
    <t>Eq to 1</t>
  </si>
  <si>
    <t>Rmin</t>
  </si>
  <si>
    <t>Correlación de Gilliland</t>
  </si>
  <si>
    <t>R</t>
  </si>
  <si>
    <t>destilado</t>
  </si>
  <si>
    <t>fondos</t>
  </si>
  <si>
    <t>kPa</t>
  </si>
  <si>
    <t>A</t>
  </si>
  <si>
    <t>C</t>
  </si>
  <si>
    <t>Sum Y</t>
  </si>
  <si>
    <t>T [°C]</t>
  </si>
  <si>
    <t>Nmin</t>
  </si>
  <si>
    <r>
      <rPr>
        <sz val="11"/>
        <color theme="1"/>
        <rFont val="Calibri"/>
        <family val="2"/>
      </rPr>
      <t>α</t>
    </r>
    <r>
      <rPr>
        <sz val="11"/>
        <color theme="1"/>
        <rFont val="Aptos Narrow"/>
        <family val="2"/>
      </rPr>
      <t>_b,HK</t>
    </r>
  </si>
  <si>
    <r>
      <rPr>
        <sz val="11"/>
        <color theme="1"/>
        <rFont val="Calibri"/>
        <family val="2"/>
      </rPr>
      <t>α</t>
    </r>
    <r>
      <rPr>
        <sz val="11"/>
        <color theme="1"/>
        <rFont val="Aptos Narrow"/>
        <family val="2"/>
      </rPr>
      <t>_LK,HK</t>
    </r>
  </si>
  <si>
    <t>NR/NS</t>
  </si>
  <si>
    <t>NR</t>
  </si>
  <si>
    <t>NS</t>
  </si>
  <si>
    <t>butanol</t>
  </si>
  <si>
    <t>Datos del problema</t>
  </si>
  <si>
    <t>metanol</t>
  </si>
  <si>
    <t>etanol</t>
  </si>
  <si>
    <t>propanol</t>
  </si>
  <si>
    <t>agua</t>
  </si>
  <si>
    <t>F_m</t>
  </si>
  <si>
    <t>F_e</t>
  </si>
  <si>
    <t>F_p</t>
  </si>
  <si>
    <t>F_a</t>
  </si>
  <si>
    <t>F_b</t>
  </si>
  <si>
    <t>D_p</t>
  </si>
  <si>
    <t>B_p</t>
  </si>
  <si>
    <t>D_a</t>
  </si>
  <si>
    <t>B_a</t>
  </si>
  <si>
    <t>D_m</t>
  </si>
  <si>
    <t>D_e</t>
  </si>
  <si>
    <t>B_b</t>
  </si>
  <si>
    <t>B_LK</t>
  </si>
  <si>
    <t>B_HK</t>
  </si>
  <si>
    <t>D_b</t>
  </si>
  <si>
    <t>B_m</t>
  </si>
  <si>
    <t>B_e</t>
  </si>
  <si>
    <t>x_m</t>
  </si>
  <si>
    <t>x_e</t>
  </si>
  <si>
    <t>x_p</t>
  </si>
  <si>
    <t>x_a</t>
  </si>
  <si>
    <t>x_b</t>
  </si>
  <si>
    <t>y_m</t>
  </si>
  <si>
    <t>y_e</t>
  </si>
  <si>
    <t>y_p</t>
  </si>
  <si>
    <t>y_a</t>
  </si>
  <si>
    <t>y_b</t>
  </si>
  <si>
    <t>Psat m</t>
  </si>
  <si>
    <t>Psat e</t>
  </si>
  <si>
    <t>Psat p</t>
  </si>
  <si>
    <t>Psat a</t>
  </si>
  <si>
    <t>Psat b</t>
  </si>
  <si>
    <t>K_m</t>
  </si>
  <si>
    <t>K_e</t>
  </si>
  <si>
    <t>K_p</t>
  </si>
  <si>
    <t>K_a</t>
  </si>
  <si>
    <t>K_b</t>
  </si>
  <si>
    <r>
      <rPr>
        <sz val="11"/>
        <color theme="1"/>
        <rFont val="Calibri"/>
        <family val="2"/>
      </rPr>
      <t>α</t>
    </r>
    <r>
      <rPr>
        <sz val="11"/>
        <color theme="1"/>
        <rFont val="Aptos Narrow"/>
        <family val="2"/>
      </rPr>
      <t>_m,HK</t>
    </r>
  </si>
  <si>
    <r>
      <rPr>
        <sz val="11"/>
        <color theme="1"/>
        <rFont val="Calibri"/>
        <family val="2"/>
      </rPr>
      <t>α</t>
    </r>
    <r>
      <rPr>
        <sz val="11"/>
        <color theme="1"/>
        <rFont val="Aptos Narrow"/>
        <family val="2"/>
      </rPr>
      <t>_e,HK</t>
    </r>
  </si>
  <si>
    <r>
      <rPr>
        <sz val="11"/>
        <color theme="1"/>
        <rFont val="Calibri"/>
        <family val="2"/>
      </rPr>
      <t>α</t>
    </r>
    <r>
      <rPr>
        <sz val="11"/>
        <color theme="1"/>
        <rFont val="Aptos Narrow"/>
        <family val="2"/>
      </rPr>
      <t>_p,HK</t>
    </r>
  </si>
  <si>
    <r>
      <rPr>
        <sz val="11"/>
        <color theme="1"/>
        <rFont val="Calibri"/>
        <family val="2"/>
      </rPr>
      <t>α</t>
    </r>
    <r>
      <rPr>
        <sz val="11"/>
        <color theme="1"/>
        <rFont val="Aptos Narrow"/>
        <family val="2"/>
      </rPr>
      <t>_a,HK</t>
    </r>
  </si>
  <si>
    <t>Y</t>
  </si>
  <si>
    <t>Correlación de Kirkbride</t>
  </si>
  <si>
    <t>Ethylbenzene</t>
  </si>
  <si>
    <t>benzene</t>
  </si>
  <si>
    <t>toluene</t>
  </si>
  <si>
    <t>p-diethylbenzene</t>
  </si>
  <si>
    <t>Nmin, with boiler</t>
  </si>
  <si>
    <t>N including boiler</t>
  </si>
  <si>
    <t>No tiene porque sumar 1</t>
  </si>
  <si>
    <t>Feedstock plate</t>
  </si>
  <si>
    <t>Fracción del HK en el destilado (99.8 % del HK sale por fondos)</t>
  </si>
  <si>
    <t>S</t>
  </si>
  <si>
    <t>Tb</t>
  </si>
  <si>
    <t>zi</t>
  </si>
  <si>
    <t>light non key</t>
  </si>
  <si>
    <t>Heavy non key</t>
  </si>
  <si>
    <t>Recovery in Distillates</t>
  </si>
  <si>
    <t>Fraction of HK in distillate</t>
  </si>
  <si>
    <t>Problem's data</t>
  </si>
  <si>
    <t>Distillate</t>
  </si>
  <si>
    <t>Bottoms</t>
  </si>
  <si>
    <t>x_t</t>
  </si>
  <si>
    <t>y_t</t>
  </si>
  <si>
    <t>y_pd</t>
  </si>
  <si>
    <t>x_pd</t>
  </si>
  <si>
    <t>Psat t</t>
  </si>
  <si>
    <t>Psat pd</t>
  </si>
  <si>
    <t>K_t</t>
  </si>
  <si>
    <t>K_pd</t>
  </si>
  <si>
    <t>Bubble Point</t>
  </si>
  <si>
    <t>Relative Volatility of Distillates</t>
  </si>
  <si>
    <t>Relative Volatility of Bottoms</t>
  </si>
  <si>
    <t>Average relative volatility</t>
  </si>
  <si>
    <t>Fenske eq</t>
  </si>
  <si>
    <t>Separation Factor</t>
  </si>
  <si>
    <t>Underwood Eq</t>
  </si>
  <si>
    <t>Gilliland Correlation</t>
  </si>
  <si>
    <t>Kirkbride correlation</t>
  </si>
  <si>
    <t>Rounded N (incl. reboiler)</t>
  </si>
  <si>
    <t>Feedstock plate (counting from 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</si>
</sst>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'FUG mezcla 5'!$X$41:$X$83</c:f>
              <c:numCache>
                <c:formatCode>General</c:formatCode>
                <c:ptCount val="43"/>
                <c:pt idx="0">
                  <c:v>1.28</c:v>
                </c:pt>
                <c:pt idx="1">
                  <c:v>1.2809999999999999</c:v>
                </c:pt>
                <c:pt idx="2">
                  <c:v>1.2819999999999998</c:v>
                </c:pt>
                <c:pt idx="3">
                  <c:v>1.2829999999999997</c:v>
                </c:pt>
                <c:pt idx="4">
                  <c:v>1.2839999999999996</c:v>
                </c:pt>
                <c:pt idx="5">
                  <c:v>1.2849999999999995</c:v>
                </c:pt>
                <c:pt idx="6">
                  <c:v>1.2859999999999994</c:v>
                </c:pt>
                <c:pt idx="7">
                  <c:v>1.2869999999999993</c:v>
                </c:pt>
                <c:pt idx="8">
                  <c:v>1.2879999999999991</c:v>
                </c:pt>
                <c:pt idx="9">
                  <c:v>1.288999999999999</c:v>
                </c:pt>
                <c:pt idx="10">
                  <c:v>1.2899999999999989</c:v>
                </c:pt>
                <c:pt idx="11">
                  <c:v>1.2909999999999988</c:v>
                </c:pt>
                <c:pt idx="12">
                  <c:v>1.2919999999999987</c:v>
                </c:pt>
                <c:pt idx="13">
                  <c:v>1.2929999999999986</c:v>
                </c:pt>
                <c:pt idx="14">
                  <c:v>1.2939999999999985</c:v>
                </c:pt>
                <c:pt idx="15">
                  <c:v>1.2949999999999984</c:v>
                </c:pt>
                <c:pt idx="16">
                  <c:v>1.2959999999999983</c:v>
                </c:pt>
                <c:pt idx="17">
                  <c:v>1.2969999999999982</c:v>
                </c:pt>
                <c:pt idx="18">
                  <c:v>1.297999999999998</c:v>
                </c:pt>
                <c:pt idx="19">
                  <c:v>1.2989999999999979</c:v>
                </c:pt>
              </c:numCache>
            </c:numRef>
          </c:xVal>
          <c:yVal>
            <c:numRef>
              <c:f>'FUG mezcla 5'!$W$41:$W$83</c:f>
              <c:numCache>
                <c:formatCode>General</c:formatCode>
                <c:ptCount val="43"/>
                <c:pt idx="0">
                  <c:v>0.90994910663243278</c:v>
                </c:pt>
                <c:pt idx="1">
                  <c:v>0.91499386507653946</c:v>
                </c:pt>
                <c:pt idx="2">
                  <c:v>0.92000810179503079</c:v>
                </c:pt>
                <c:pt idx="3">
                  <c:v>0.92499215560502779</c:v>
                </c:pt>
                <c:pt idx="4">
                  <c:v>0.92994636063253</c:v>
                </c:pt>
                <c:pt idx="5">
                  <c:v>0.93487104639519103</c:v>
                </c:pt>
                <c:pt idx="6">
                  <c:v>0.93976653788336162</c:v>
                </c:pt>
                <c:pt idx="7">
                  <c:v>0.9446331556394405</c:v>
                </c:pt>
                <c:pt idx="8">
                  <c:v>0.94947121583557814</c:v>
                </c:pt>
                <c:pt idx="9">
                  <c:v>0.9542810303497693</c:v>
                </c:pt>
                <c:pt idx="10">
                  <c:v>0.95906290684037676</c:v>
                </c:pt>
                <c:pt idx="11">
                  <c:v>0.96381714881912095</c:v>
                </c:pt>
                <c:pt idx="12">
                  <c:v>0.96854405572257463</c:v>
                </c:pt>
                <c:pt idx="13">
                  <c:v>0.97324392298219797</c:v>
                </c:pt>
                <c:pt idx="14">
                  <c:v>0.97791704209294628</c:v>
                </c:pt>
                <c:pt idx="15">
                  <c:v>0.98256370068048859</c:v>
                </c:pt>
                <c:pt idx="16">
                  <c:v>0.98718418256706708</c:v>
                </c:pt>
                <c:pt idx="17">
                  <c:v>0.9917787678360287</c:v>
                </c:pt>
                <c:pt idx="18">
                  <c:v>0.99634773289506384</c:v>
                </c:pt>
                <c:pt idx="19">
                  <c:v>1.0008913505381782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2D-4E28-A70E-9DD8771AA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490032"/>
        <c:axId val="880485352"/>
      </c:scatterChart>
      <c:valAx>
        <c:axId val="88049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0485352"/>
        <c:crosses val="autoZero"/>
        <c:crossBetween val="midCat"/>
      </c:valAx>
      <c:valAx>
        <c:axId val="88048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049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'FUG Alcoholes'!$X$41:$X$83</c:f>
              <c:numCache>
                <c:formatCode>General</c:formatCode>
                <c:ptCount val="43"/>
                <c:pt idx="0">
                  <c:v>1.02</c:v>
                </c:pt>
                <c:pt idx="1">
                  <c:v>1.0209999999999999</c:v>
                </c:pt>
                <c:pt idx="2">
                  <c:v>1.0219999999999998</c:v>
                </c:pt>
                <c:pt idx="3">
                  <c:v>1.0229999999999997</c:v>
                </c:pt>
                <c:pt idx="4">
                  <c:v>1.0239999999999996</c:v>
                </c:pt>
                <c:pt idx="5">
                  <c:v>1.0249999999999995</c:v>
                </c:pt>
                <c:pt idx="6">
                  <c:v>1.0259999999999994</c:v>
                </c:pt>
                <c:pt idx="7">
                  <c:v>1.0269999999999992</c:v>
                </c:pt>
                <c:pt idx="8">
                  <c:v>1.0279999999999991</c:v>
                </c:pt>
                <c:pt idx="9">
                  <c:v>1.028999999999999</c:v>
                </c:pt>
                <c:pt idx="10">
                  <c:v>1.0299999999999989</c:v>
                </c:pt>
                <c:pt idx="11">
                  <c:v>1.0309999999999988</c:v>
                </c:pt>
                <c:pt idx="12">
                  <c:v>1.0319999999999987</c:v>
                </c:pt>
                <c:pt idx="13">
                  <c:v>1.0329999999999986</c:v>
                </c:pt>
                <c:pt idx="14">
                  <c:v>1.0339999999999985</c:v>
                </c:pt>
                <c:pt idx="15">
                  <c:v>1.0349999999999984</c:v>
                </c:pt>
                <c:pt idx="16">
                  <c:v>1.0359999999999983</c:v>
                </c:pt>
                <c:pt idx="17">
                  <c:v>1.0369999999999981</c:v>
                </c:pt>
                <c:pt idx="18">
                  <c:v>1.037999999999998</c:v>
                </c:pt>
                <c:pt idx="19">
                  <c:v>1.0389999999999979</c:v>
                </c:pt>
                <c:pt idx="20">
                  <c:v>1.0399999999999978</c:v>
                </c:pt>
              </c:numCache>
            </c:numRef>
          </c:xVal>
          <c:yVal>
            <c:numRef>
              <c:f>'FUG Alcoholes'!$W$41:$W$83</c:f>
              <c:numCache>
                <c:formatCode>General</c:formatCode>
                <c:ptCount val="43"/>
                <c:pt idx="0">
                  <c:v>-2.1426561537728865</c:v>
                </c:pt>
                <c:pt idx="1">
                  <c:v>-1.5840775077346445</c:v>
                </c:pt>
                <c:pt idx="2">
                  <c:v>-1.0667537852105198</c:v>
                </c:pt>
                <c:pt idx="3">
                  <c:v>-0.58496168271866789</c:v>
                </c:pt>
                <c:pt idx="4">
                  <c:v>-0.13391507401700253</c:v>
                </c:pt>
                <c:pt idx="5">
                  <c:v>0.29042345969732186</c:v>
                </c:pt>
                <c:pt idx="6">
                  <c:v>0.69148768453793052</c:v>
                </c:pt>
                <c:pt idx="7">
                  <c:v>1.072220616342501</c:v>
                </c:pt>
                <c:pt idx="8">
                  <c:v>1.4351633162652009</c:v>
                </c:pt>
                <c:pt idx="9">
                  <c:v>1.782525406392333</c:v>
                </c:pt>
                <c:pt idx="10">
                  <c:v>2.1162415792484879</c:v>
                </c:pt>
                <c:pt idx="11">
                  <c:v>2.438017273051345</c:v>
                </c:pt>
                <c:pt idx="12">
                  <c:v>2.7493658926184086</c:v>
                </c:pt>
                <c:pt idx="13">
                  <c:v>3.0516393799885533</c:v>
                </c:pt>
                <c:pt idx="14">
                  <c:v>3.3460535155502127</c:v>
                </c:pt>
                <c:pt idx="15">
                  <c:v>3.6337090161952119</c:v>
                </c:pt>
                <c:pt idx="16">
                  <c:v>3.9156092614886138</c:v>
                </c:pt>
                <c:pt idx="17">
                  <c:v>4.1926753008041517</c:v>
                </c:pt>
                <c:pt idx="18">
                  <c:v>4.4657586587233489</c:v>
                </c:pt>
                <c:pt idx="19">
                  <c:v>4.7356523518992288</c:v>
                </c:pt>
                <c:pt idx="20">
                  <c:v>5.0031004501931005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A4-4492-A9D1-9B32490C4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490032"/>
        <c:axId val="880485352"/>
      </c:scatterChart>
      <c:valAx>
        <c:axId val="88049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0485352"/>
        <c:crosses val="autoZero"/>
        <c:crossBetween val="midCat"/>
      </c:valAx>
      <c:valAx>
        <c:axId val="88048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88049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246289</xdr:colOff>
      <xdr:row>13</xdr:row>
      <xdr:rowOff>91168</xdr:rowOff>
    </xdr:from>
    <xdr:to>
      <xdr:col>30</xdr:col>
      <xdr:colOff>46987</xdr:colOff>
      <xdr:row>14</xdr:row>
      <xdr:rowOff>113290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3B42D-8D97-4EC1-B8C8-E17972BAB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5089" y="2468608"/>
          <a:ext cx="1019898" cy="205002"/>
        </a:xfrm>
        <a:prstGeom prst="rect">
          <a:avLst/>
        </a:prstGeom>
      </xdr:spPr>
    </xdr:pic>
    <xdr:clientData/>
  </xdr:twoCellAnchor>
  <xdr:twoCellAnchor>
    <xdr:from>
      <xdr:col>13</xdr:col>
      <xdr:colOff>219074</xdr:colOff>
      <xdr:row>45</xdr:row>
      <xdr:rowOff>31140</xdr:rowOff>
    </xdr:from>
    <xdr:to>
      <xdr:col>20</xdr:col>
      <xdr:colOff>603006</xdr:colOff>
      <xdr:row>60</xdr:row>
      <xdr:rowOff>59715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AC7EA8-7A56-467E-B8B4-74CD5B734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249382</xdr:colOff>
      <xdr:row>21</xdr:row>
      <xdr:rowOff>138545</xdr:rowOff>
    </xdr:from>
    <xdr:to>
      <xdr:col>4</xdr:col>
      <xdr:colOff>644236</xdr:colOff>
      <xdr:row>27</xdr:row>
      <xdr:rowOff>131619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52454C3-06F2-86F6-B2A9-436DC799DE73}"/>
            </a:ext>
          </a:extLst>
        </xdr:cNvPr>
        <xdr:cNvSpPr/>
      </xdr:nvSpPr>
      <xdr:spPr>
        <a:xfrm>
          <a:off x="2687782" y="3920836"/>
          <a:ext cx="394854" cy="1073728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644237</xdr:colOff>
      <xdr:row>23</xdr:row>
      <xdr:rowOff>34610</xdr:rowOff>
    </xdr:from>
    <xdr:to>
      <xdr:col>9</xdr:col>
      <xdr:colOff>360218</xdr:colOff>
      <xdr:row>24</xdr:row>
      <xdr:rowOff>131619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6BC3331A-FFF2-C7CA-A14A-0D7C2C9E02F8}"/>
            </a:ext>
          </a:extLst>
        </xdr:cNvPr>
        <xdr:cNvSpPr/>
      </xdr:nvSpPr>
      <xdr:spPr>
        <a:xfrm>
          <a:off x="3082637" y="4177119"/>
          <a:ext cx="2992581" cy="277118"/>
        </a:xfrm>
        <a:custGeom>
          <a:avLst/>
          <a:gdLst>
            <a:gd name="csX0" fmla="*/ 0 w 2860963"/>
            <a:gd name="csY0" fmla="*/ 277118 h 277118"/>
            <a:gd name="csX1" fmla="*/ 1156854 w 2860963"/>
            <a:gd name="csY1" fmla="*/ 34664 h 277118"/>
            <a:gd name="csX2" fmla="*/ 2860963 w 2860963"/>
            <a:gd name="csY2" fmla="*/ 6955 h 2771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2860963" h="277118">
              <a:moveTo>
                <a:pt x="0" y="277118"/>
              </a:moveTo>
              <a:cubicBezTo>
                <a:pt x="340013" y="178404"/>
                <a:pt x="680027" y="79691"/>
                <a:pt x="1156854" y="34664"/>
              </a:cubicBezTo>
              <a:cubicBezTo>
                <a:pt x="1633681" y="-10363"/>
                <a:pt x="2247322" y="-1704"/>
                <a:pt x="2860963" y="6955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332509</xdr:colOff>
      <xdr:row>21</xdr:row>
      <xdr:rowOff>41564</xdr:rowOff>
    </xdr:from>
    <xdr:to>
      <xdr:col>9</xdr:col>
      <xdr:colOff>561109</xdr:colOff>
      <xdr:row>26</xdr:row>
      <xdr:rowOff>0</xdr:rowOff>
    </xdr:to>
    <xdr:sp macro="" textlink="">
      <xdr:nvSpPr>
        <xdr:cNvPr id="6" name="Left Brace 5">
          <a:extLst>
            <a:ext uri="{FF2B5EF4-FFF2-40B4-BE49-F238E27FC236}">
              <a16:creationId xmlns:a16="http://schemas.microsoft.com/office/drawing/2014/main" id="{781CBF14-895D-F693-8995-005D0C0447CD}"/>
            </a:ext>
          </a:extLst>
        </xdr:cNvPr>
        <xdr:cNvSpPr/>
      </xdr:nvSpPr>
      <xdr:spPr>
        <a:xfrm>
          <a:off x="6047509" y="3823855"/>
          <a:ext cx="228600" cy="858981"/>
        </a:xfrm>
        <a:prstGeom prst="leftBrace">
          <a:avLst>
            <a:gd name="adj1" fmla="val 8333"/>
            <a:gd name="adj2" fmla="val 42742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325582</xdr:colOff>
      <xdr:row>29</xdr:row>
      <xdr:rowOff>166254</xdr:rowOff>
    </xdr:from>
    <xdr:to>
      <xdr:col>4</xdr:col>
      <xdr:colOff>720436</xdr:colOff>
      <xdr:row>35</xdr:row>
      <xdr:rowOff>159328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A2553928-C0CF-47C0-BF92-749ADCF2CFE3}"/>
            </a:ext>
          </a:extLst>
        </xdr:cNvPr>
        <xdr:cNvSpPr/>
      </xdr:nvSpPr>
      <xdr:spPr>
        <a:xfrm>
          <a:off x="2763982" y="5389418"/>
          <a:ext cx="394854" cy="1073728"/>
        </a:xfrm>
        <a:prstGeom prst="rightBrac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720437</xdr:colOff>
      <xdr:row>31</xdr:row>
      <xdr:rowOff>62319</xdr:rowOff>
    </xdr:from>
    <xdr:to>
      <xdr:col>9</xdr:col>
      <xdr:colOff>436418</xdr:colOff>
      <xdr:row>32</xdr:row>
      <xdr:rowOff>159328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CA9A5E0B-7901-4C09-A1CF-F646F666F289}"/>
            </a:ext>
          </a:extLst>
        </xdr:cNvPr>
        <xdr:cNvSpPr/>
      </xdr:nvSpPr>
      <xdr:spPr>
        <a:xfrm>
          <a:off x="3158837" y="5645701"/>
          <a:ext cx="2992581" cy="277118"/>
        </a:xfrm>
        <a:custGeom>
          <a:avLst/>
          <a:gdLst>
            <a:gd name="csX0" fmla="*/ 0 w 2860963"/>
            <a:gd name="csY0" fmla="*/ 277118 h 277118"/>
            <a:gd name="csX1" fmla="*/ 1156854 w 2860963"/>
            <a:gd name="csY1" fmla="*/ 34664 h 277118"/>
            <a:gd name="csX2" fmla="*/ 2860963 w 2860963"/>
            <a:gd name="csY2" fmla="*/ 6955 h 2771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2860963" h="277118">
              <a:moveTo>
                <a:pt x="0" y="277118"/>
              </a:moveTo>
              <a:cubicBezTo>
                <a:pt x="340013" y="178404"/>
                <a:pt x="680027" y="79691"/>
                <a:pt x="1156854" y="34664"/>
              </a:cubicBezTo>
              <a:cubicBezTo>
                <a:pt x="1633681" y="-10363"/>
                <a:pt x="2247322" y="-1704"/>
                <a:pt x="2860963" y="6955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408709</xdr:colOff>
      <xdr:row>29</xdr:row>
      <xdr:rowOff>69273</xdr:rowOff>
    </xdr:from>
    <xdr:to>
      <xdr:col>10</xdr:col>
      <xdr:colOff>27709</xdr:colOff>
      <xdr:row>34</xdr:row>
      <xdr:rowOff>27709</xdr:rowOff>
    </xdr:to>
    <xdr:sp macro="" textlink="">
      <xdr:nvSpPr>
        <xdr:cNvPr id="9" name="Left Brace 8">
          <a:extLst>
            <a:ext uri="{FF2B5EF4-FFF2-40B4-BE49-F238E27FC236}">
              <a16:creationId xmlns:a16="http://schemas.microsoft.com/office/drawing/2014/main" id="{B6632214-C594-44E6-8F26-7BBCB0DEE607}"/>
            </a:ext>
          </a:extLst>
        </xdr:cNvPr>
        <xdr:cNvSpPr/>
      </xdr:nvSpPr>
      <xdr:spPr>
        <a:xfrm>
          <a:off x="6123709" y="5292437"/>
          <a:ext cx="228600" cy="858981"/>
        </a:xfrm>
        <a:prstGeom prst="leftBrace">
          <a:avLst>
            <a:gd name="adj1" fmla="val 8333"/>
            <a:gd name="adj2" fmla="val 42742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246289</xdr:colOff>
      <xdr:row>13</xdr:row>
      <xdr:rowOff>91168</xdr:rowOff>
    </xdr:from>
    <xdr:to>
      <xdr:col>30</xdr:col>
      <xdr:colOff>46987</xdr:colOff>
      <xdr:row>14</xdr:row>
      <xdr:rowOff>113290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09A80-5E55-4457-A7FA-60CEB80F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5089" y="2443843"/>
          <a:ext cx="1019898" cy="203097"/>
        </a:xfrm>
        <a:prstGeom prst="rect">
          <a:avLst/>
        </a:prstGeom>
      </xdr:spPr>
    </xdr:pic>
    <xdr:clientData/>
  </xdr:twoCellAnchor>
  <xdr:twoCellAnchor>
    <xdr:from>
      <xdr:col>13</xdr:col>
      <xdr:colOff>219074</xdr:colOff>
      <xdr:row>45</xdr:row>
      <xdr:rowOff>31140</xdr:rowOff>
    </xdr:from>
    <xdr:to>
      <xdr:col>20</xdr:col>
      <xdr:colOff>603006</xdr:colOff>
      <xdr:row>60</xdr:row>
      <xdr:rowOff>59715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9535CF-8A4B-1988-C705-1C0547160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F4B-D511-406F-B1DE-4601E8ED19D5}">
  <dimension ref="A1:AN60"/>
  <sheetViews>
    <sheetView tabSelected="1" topLeftCell="A36" zoomScale="110" zoomScaleNormal="110" workbookViewId="0">
      <selection activeCell="M48" sqref="M48"/>
    </sheetView>
  </sheetViews>
  <sheetFormatPr defaultRowHeight="15" x14ac:dyDescent="0.25"/>
  <cols>
    <col min="5" max="5" width="12.28515625" customWidth="1"/>
  </cols>
  <sheetData>
    <row r="1" spans="2:40" x14ac:dyDescent="0.25">
      <c r="B1" t="s">
        <v>121</v>
      </c>
    </row>
    <row r="2" spans="2:40" x14ac:dyDescent="0.25">
      <c r="B2" t="s">
        <v>0</v>
      </c>
      <c r="C2">
        <v>1</v>
      </c>
      <c r="D2" t="s">
        <v>1</v>
      </c>
      <c r="F2">
        <f>C2*101.325</f>
        <v>101.325</v>
      </c>
      <c r="G2" t="s">
        <v>45</v>
      </c>
    </row>
    <row r="3" spans="2:40" x14ac:dyDescent="0.25">
      <c r="B3" t="s">
        <v>2</v>
      </c>
      <c r="C3">
        <v>100</v>
      </c>
      <c r="D3" t="s">
        <v>3</v>
      </c>
    </row>
    <row r="4" spans="2:40" x14ac:dyDescent="0.25">
      <c r="B4" t="s">
        <v>4</v>
      </c>
      <c r="C4">
        <v>1.5</v>
      </c>
    </row>
    <row r="5" spans="2:40" x14ac:dyDescent="0.25">
      <c r="B5" t="s">
        <v>5</v>
      </c>
      <c r="C5">
        <v>1.3</v>
      </c>
    </row>
    <row r="7" spans="2:40" x14ac:dyDescent="0.25">
      <c r="C7" t="s">
        <v>116</v>
      </c>
      <c r="D7" t="s">
        <v>115</v>
      </c>
    </row>
    <row r="8" spans="2:40" x14ac:dyDescent="0.25">
      <c r="C8">
        <v>0.2</v>
      </c>
      <c r="E8" t="s">
        <v>106</v>
      </c>
      <c r="F8" t="s">
        <v>117</v>
      </c>
      <c r="S8" t="s">
        <v>83</v>
      </c>
      <c r="T8" t="s">
        <v>81</v>
      </c>
      <c r="U8" t="s">
        <v>124</v>
      </c>
      <c r="V8" t="s">
        <v>80</v>
      </c>
      <c r="W8" t="s">
        <v>127</v>
      </c>
      <c r="X8" t="s">
        <v>88</v>
      </c>
      <c r="Y8" t="s">
        <v>86</v>
      </c>
      <c r="Z8" t="s">
        <v>125</v>
      </c>
      <c r="AA8" t="s">
        <v>85</v>
      </c>
      <c r="AB8" t="s">
        <v>126</v>
      </c>
      <c r="AC8" t="s">
        <v>48</v>
      </c>
      <c r="AD8" t="s">
        <v>49</v>
      </c>
      <c r="AE8" t="s">
        <v>93</v>
      </c>
      <c r="AF8" t="s">
        <v>91</v>
      </c>
      <c r="AG8" t="s">
        <v>128</v>
      </c>
      <c r="AH8" t="s">
        <v>90</v>
      </c>
      <c r="AI8" t="s">
        <v>129</v>
      </c>
      <c r="AJ8" t="s">
        <v>98</v>
      </c>
      <c r="AK8" t="s">
        <v>96</v>
      </c>
      <c r="AL8" t="s">
        <v>130</v>
      </c>
      <c r="AM8" t="s">
        <v>95</v>
      </c>
      <c r="AN8" t="s">
        <v>131</v>
      </c>
    </row>
    <row r="9" spans="2:40" x14ac:dyDescent="0.25">
      <c r="C9">
        <v>0.08</v>
      </c>
      <c r="E9" t="s">
        <v>60</v>
      </c>
      <c r="F9" t="s">
        <v>117</v>
      </c>
      <c r="R9" t="s">
        <v>122</v>
      </c>
      <c r="S9">
        <f>L23</f>
        <v>0.49942566049043602</v>
      </c>
      <c r="T9">
        <f>L24</f>
        <v>0.19977026419617441</v>
      </c>
      <c r="U9">
        <f>L25</f>
        <v>0.29905608550167306</v>
      </c>
      <c r="V9">
        <f>L26</f>
        <v>1.7479898117165262E-3</v>
      </c>
      <c r="W9">
        <f>L27</f>
        <v>0</v>
      </c>
      <c r="X9">
        <f>S9*AJ9</f>
        <v>0.6820880099510569</v>
      </c>
      <c r="Y9">
        <f t="shared" ref="X9:AB10" si="0">T9*AK9</f>
        <v>0.15553487417920284</v>
      </c>
      <c r="Z9">
        <f t="shared" si="0"/>
        <v>0.16195068682773178</v>
      </c>
      <c r="AA9">
        <f t="shared" si="0"/>
        <v>4.2614029807402394E-4</v>
      </c>
      <c r="AB9">
        <f t="shared" si="0"/>
        <v>0</v>
      </c>
      <c r="AC9">
        <f>SUM(X9:AB9)</f>
        <v>0.99999971125606557</v>
      </c>
      <c r="AD9">
        <v>90.457153253768055</v>
      </c>
      <c r="AE9">
        <f>(10^($U$17-($U$18/(AD9+$U$19))))*0.133322</f>
        <v>138.38409412208077</v>
      </c>
      <c r="AF9">
        <f>(10^($W$17-($W$18/(AD9+$W$19))))*0.133322</f>
        <v>78.888473165014332</v>
      </c>
      <c r="AG9">
        <f>(10^($Y$17-($Y$18/(AD9+$Y$19))))*0.133322</f>
        <v>54.87149112947283</v>
      </c>
      <c r="AH9">
        <f>(10^($AA$17-($AA$18/(AD9+$AA$19))))*0.133322</f>
        <v>24.701897810233241</v>
      </c>
      <c r="AI9">
        <f>(10^($AC$17-($AC$18/(AD9+$AC$19))))*0.133322</f>
        <v>5.0010885581003688</v>
      </c>
      <c r="AJ9">
        <f>AE9/$V$14</f>
        <v>1.3657448223250013</v>
      </c>
      <c r="AK9">
        <f>AF9/$V$14</f>
        <v>0.77856869642254456</v>
      </c>
      <c r="AL9">
        <f t="shared" ref="AL9:AM9" si="1">AG9/$V$14</f>
        <v>0.54153951275078049</v>
      </c>
      <c r="AM9">
        <f t="shared" si="1"/>
        <v>0.24378877680960515</v>
      </c>
      <c r="AN9">
        <f>AI9/$V$14</f>
        <v>4.9356906568964902E-2</v>
      </c>
    </row>
    <row r="10" spans="2:40" x14ac:dyDescent="0.25">
      <c r="B10" s="1" t="s">
        <v>7</v>
      </c>
      <c r="C10" s="1">
        <v>0.12</v>
      </c>
      <c r="D10" s="1"/>
      <c r="E10" s="1" t="s">
        <v>107</v>
      </c>
      <c r="F10" s="1" t="s">
        <v>9</v>
      </c>
      <c r="G10" s="1">
        <v>0.998</v>
      </c>
      <c r="H10" s="1" t="s">
        <v>119</v>
      </c>
      <c r="I10" s="1"/>
      <c r="J10" s="1"/>
      <c r="R10" t="s">
        <v>123</v>
      </c>
      <c r="S10">
        <f>L31</f>
        <v>0</v>
      </c>
      <c r="T10">
        <f>L32</f>
        <v>0</v>
      </c>
      <c r="U10">
        <f>L33</f>
        <v>4.0030690195818312E-4</v>
      </c>
      <c r="V10">
        <f>L34</f>
        <v>0.58261333689161687</v>
      </c>
      <c r="W10">
        <f>L35</f>
        <v>0.41698635620642494</v>
      </c>
      <c r="X10">
        <f t="shared" si="0"/>
        <v>0</v>
      </c>
      <c r="Y10">
        <f t="shared" si="0"/>
        <v>0</v>
      </c>
      <c r="Z10">
        <f t="shared" si="0"/>
        <v>1.0969803935090307E-3</v>
      </c>
      <c r="AA10">
        <f t="shared" si="0"/>
        <v>0.83209764799239538</v>
      </c>
      <c r="AB10">
        <f t="shared" si="0"/>
        <v>0.16680537161409567</v>
      </c>
      <c r="AC10">
        <f>SUM(X10:AB10)</f>
        <v>1</v>
      </c>
      <c r="AD10">
        <v>149.90441657637456</v>
      </c>
      <c r="AE10">
        <f>(10^($U$17-($U$18/(AD10+$U$19))))*0.133322</f>
        <v>595.22949439310992</v>
      </c>
      <c r="AF10">
        <f>(10^($W$17-($W$18/(AD10+$W$19))))*0.133322</f>
        <v>520.18428366062949</v>
      </c>
      <c r="AG10">
        <f>(10^($Y$17-($Y$18/(AD10+$Y$19))))*0.133322</f>
        <v>277.66580548219889</v>
      </c>
      <c r="AH10">
        <f>(10^($AA$17-($AA$18/(AD10+$AA$19))))*0.133322</f>
        <v>144.71397897043681</v>
      </c>
      <c r="AI10">
        <f>(10^($AC$17-($AC$18/(AD10+$AC$19))))*0.133322</f>
        <v>40.532631409242796</v>
      </c>
      <c r="AJ10">
        <f>AE10/$V$14</f>
        <v>5.8744583705216868</v>
      </c>
      <c r="AK10">
        <f>AF10/$V$14</f>
        <v>5.1338197252467745</v>
      </c>
      <c r="AL10">
        <f>AG10/$V$14</f>
        <v>2.740348438018247</v>
      </c>
      <c r="AM10">
        <f>AH10/$V$14</f>
        <v>1.4282159286497589</v>
      </c>
      <c r="AN10">
        <f>AI10/$V$14</f>
        <v>0.40002596999005968</v>
      </c>
    </row>
    <row r="11" spans="2:40" x14ac:dyDescent="0.25">
      <c r="B11" s="3" t="s">
        <v>8</v>
      </c>
      <c r="C11" s="3">
        <v>0.35</v>
      </c>
      <c r="D11" s="3"/>
      <c r="E11" s="3" t="s">
        <v>105</v>
      </c>
      <c r="F11" s="3" t="s">
        <v>10</v>
      </c>
      <c r="G11" s="3">
        <v>2E-3</v>
      </c>
      <c r="H11" s="3" t="s">
        <v>120</v>
      </c>
    </row>
    <row r="12" spans="2:40" x14ac:dyDescent="0.25">
      <c r="C12">
        <v>0.25</v>
      </c>
      <c r="E12" t="s">
        <v>108</v>
      </c>
      <c r="F12" t="s">
        <v>118</v>
      </c>
    </row>
    <row r="13" spans="2:40" x14ac:dyDescent="0.25">
      <c r="C13">
        <f>SUM(C8:C12)</f>
        <v>1</v>
      </c>
      <c r="V13" t="s">
        <v>0</v>
      </c>
    </row>
    <row r="14" spans="2:40" x14ac:dyDescent="0.25">
      <c r="C14" t="s">
        <v>21</v>
      </c>
      <c r="F14" t="s">
        <v>67</v>
      </c>
      <c r="G14" t="s">
        <v>12</v>
      </c>
      <c r="H14">
        <f>G10*C17</f>
        <v>11.975999999999999</v>
      </c>
      <c r="I14" t="s">
        <v>3</v>
      </c>
      <c r="V14">
        <f>101.325*C2</f>
        <v>101.325</v>
      </c>
      <c r="W14" t="s">
        <v>45</v>
      </c>
    </row>
    <row r="15" spans="2:40" x14ac:dyDescent="0.25">
      <c r="B15" t="s">
        <v>62</v>
      </c>
      <c r="C15">
        <f>$C$3*C8</f>
        <v>20</v>
      </c>
      <c r="D15" t="s">
        <v>106</v>
      </c>
      <c r="F15" t="s">
        <v>68</v>
      </c>
      <c r="G15" t="s">
        <v>74</v>
      </c>
      <c r="H15">
        <f>C17-H14</f>
        <v>2.4000000000000909E-2</v>
      </c>
      <c r="I15" t="s">
        <v>3</v>
      </c>
    </row>
    <row r="16" spans="2:40" x14ac:dyDescent="0.25">
      <c r="B16" t="s">
        <v>63</v>
      </c>
      <c r="C16">
        <f t="shared" ref="C16:C19" si="2">$C$3*C9</f>
        <v>8</v>
      </c>
      <c r="D16" t="s">
        <v>60</v>
      </c>
      <c r="T16" t="s">
        <v>106</v>
      </c>
      <c r="V16" t="s">
        <v>60</v>
      </c>
      <c r="X16" t="s">
        <v>107</v>
      </c>
      <c r="Z16" t="s">
        <v>105</v>
      </c>
      <c r="AB16" t="s">
        <v>108</v>
      </c>
    </row>
    <row r="17" spans="1:29" x14ac:dyDescent="0.25">
      <c r="A17" s="1" t="s">
        <v>13</v>
      </c>
      <c r="B17" s="1" t="s">
        <v>64</v>
      </c>
      <c r="C17" s="1">
        <f>$C$3*C10</f>
        <v>12</v>
      </c>
      <c r="D17" s="1" t="s">
        <v>107</v>
      </c>
      <c r="F17" t="s">
        <v>69</v>
      </c>
      <c r="G17" t="s">
        <v>15</v>
      </c>
      <c r="H17">
        <f>G11*C18</f>
        <v>7.0000000000000007E-2</v>
      </c>
      <c r="I17" t="s">
        <v>3</v>
      </c>
      <c r="T17" t="s">
        <v>46</v>
      </c>
      <c r="U17">
        <v>7.0643700000000003</v>
      </c>
      <c r="V17" t="s">
        <v>46</v>
      </c>
      <c r="W17">
        <v>7.7737400000000001</v>
      </c>
      <c r="X17" t="s">
        <v>46</v>
      </c>
      <c r="Y17">
        <v>7.1361999999999997</v>
      </c>
      <c r="Z17" t="s">
        <v>46</v>
      </c>
      <c r="AA17">
        <v>7.1561000000000003</v>
      </c>
      <c r="AB17" t="s">
        <v>46</v>
      </c>
      <c r="AC17">
        <v>7.2105899999999998</v>
      </c>
    </row>
    <row r="18" spans="1:29" x14ac:dyDescent="0.25">
      <c r="A18" s="3" t="s">
        <v>14</v>
      </c>
      <c r="B18" s="3" t="s">
        <v>65</v>
      </c>
      <c r="C18" s="3">
        <f t="shared" si="2"/>
        <v>35</v>
      </c>
      <c r="D18" s="3" t="s">
        <v>105</v>
      </c>
      <c r="F18" t="s">
        <v>70</v>
      </c>
      <c r="G18" t="s">
        <v>75</v>
      </c>
      <c r="H18">
        <f>C18-H17</f>
        <v>34.93</v>
      </c>
      <c r="I18" t="s">
        <v>3</v>
      </c>
      <c r="M18" t="s">
        <v>31</v>
      </c>
      <c r="T18" t="s">
        <v>17</v>
      </c>
      <c r="U18">
        <v>1296.93</v>
      </c>
      <c r="V18" t="s">
        <v>17</v>
      </c>
      <c r="W18">
        <v>1518.16</v>
      </c>
      <c r="X18" t="s">
        <v>17</v>
      </c>
      <c r="Y18">
        <v>1457.29</v>
      </c>
      <c r="Z18" t="s">
        <v>17</v>
      </c>
      <c r="AA18">
        <v>1559.55</v>
      </c>
      <c r="AB18" t="s">
        <v>17</v>
      </c>
      <c r="AC18">
        <v>1743.19</v>
      </c>
    </row>
    <row r="19" spans="1:29" x14ac:dyDescent="0.25">
      <c r="B19" t="s">
        <v>66</v>
      </c>
      <c r="C19">
        <f t="shared" si="2"/>
        <v>25</v>
      </c>
      <c r="D19" t="s">
        <v>108</v>
      </c>
      <c r="T19" t="s">
        <v>47</v>
      </c>
      <c r="U19">
        <v>229.916</v>
      </c>
      <c r="V19" t="s">
        <v>47</v>
      </c>
      <c r="W19">
        <v>213.07599999999999</v>
      </c>
      <c r="X19" t="s">
        <v>47</v>
      </c>
      <c r="Y19">
        <v>231.827</v>
      </c>
      <c r="Z19" t="s">
        <v>47</v>
      </c>
      <c r="AA19">
        <v>228.58199999999999</v>
      </c>
      <c r="AB19" t="s">
        <v>47</v>
      </c>
      <c r="AC19">
        <v>218.815</v>
      </c>
    </row>
    <row r="21" spans="1:29" x14ac:dyDescent="0.25">
      <c r="F21" t="s">
        <v>71</v>
      </c>
      <c r="H21">
        <f>C15</f>
        <v>20</v>
      </c>
      <c r="I21" t="s">
        <v>3</v>
      </c>
      <c r="W21" t="s">
        <v>46</v>
      </c>
      <c r="X21" t="s">
        <v>17</v>
      </c>
      <c r="Y21" t="s">
        <v>47</v>
      </c>
    </row>
    <row r="22" spans="1:29" x14ac:dyDescent="0.25">
      <c r="C22" t="s">
        <v>20</v>
      </c>
      <c r="F22" t="s">
        <v>72</v>
      </c>
      <c r="H22">
        <f>C16</f>
        <v>8</v>
      </c>
      <c r="I22" t="s">
        <v>3</v>
      </c>
      <c r="L22" t="s">
        <v>18</v>
      </c>
      <c r="M22" t="s">
        <v>27</v>
      </c>
      <c r="N22" t="s">
        <v>29</v>
      </c>
      <c r="U22" t="s">
        <v>106</v>
      </c>
      <c r="W22">
        <v>7.0643700000000003</v>
      </c>
      <c r="X22">
        <v>1296.93</v>
      </c>
      <c r="Y22">
        <v>229.916</v>
      </c>
    </row>
    <row r="23" spans="1:29" x14ac:dyDescent="0.25">
      <c r="B23" t="s">
        <v>71</v>
      </c>
      <c r="C23">
        <f>H21</f>
        <v>20</v>
      </c>
      <c r="D23" t="s">
        <v>106</v>
      </c>
      <c r="F23" t="s">
        <v>73</v>
      </c>
      <c r="H23">
        <f>C19</f>
        <v>25</v>
      </c>
      <c r="I23" t="s">
        <v>3</v>
      </c>
      <c r="L23">
        <f>C23/$H$25</f>
        <v>0.49942566049043602</v>
      </c>
      <c r="M23">
        <f>N23*L23</f>
        <v>0.6820880099510569</v>
      </c>
      <c r="N23">
        <f>AJ9</f>
        <v>1.3657448223250013</v>
      </c>
      <c r="O23" t="s">
        <v>106</v>
      </c>
      <c r="Q23" t="s">
        <v>122</v>
      </c>
      <c r="U23" t="s">
        <v>60</v>
      </c>
      <c r="W23">
        <v>7.7737400000000001</v>
      </c>
      <c r="X23">
        <v>1518.16</v>
      </c>
      <c r="Y23">
        <v>213.07599999999999</v>
      </c>
    </row>
    <row r="24" spans="1:29" x14ac:dyDescent="0.25">
      <c r="B24" t="s">
        <v>72</v>
      </c>
      <c r="C24">
        <f>H22</f>
        <v>8</v>
      </c>
      <c r="D24" t="s">
        <v>60</v>
      </c>
      <c r="L24">
        <f>C24/$H$25</f>
        <v>0.19977026419617441</v>
      </c>
      <c r="M24">
        <f>N24*L24</f>
        <v>0.15553487417920284</v>
      </c>
      <c r="N24">
        <f>AK9</f>
        <v>0.77856869642254456</v>
      </c>
      <c r="O24" t="s">
        <v>60</v>
      </c>
      <c r="Q24" t="s">
        <v>132</v>
      </c>
      <c r="U24" t="s">
        <v>107</v>
      </c>
      <c r="W24">
        <v>7.1361999999999997</v>
      </c>
      <c r="X24">
        <v>1457.29</v>
      </c>
      <c r="Y24">
        <v>231.827</v>
      </c>
    </row>
    <row r="25" spans="1:29" x14ac:dyDescent="0.25">
      <c r="B25" t="s">
        <v>67</v>
      </c>
      <c r="C25">
        <f>H14</f>
        <v>11.975999999999999</v>
      </c>
      <c r="D25" s="1" t="s">
        <v>107</v>
      </c>
      <c r="G25" t="s">
        <v>16</v>
      </c>
      <c r="H25">
        <f>H14+H17+H22+H21</f>
        <v>40.045999999999999</v>
      </c>
      <c r="I25" t="s">
        <v>3</v>
      </c>
      <c r="K25" s="1" t="s">
        <v>7</v>
      </c>
      <c r="L25" s="1">
        <f>C25/$H$25</f>
        <v>0.29905608550167306</v>
      </c>
      <c r="M25" s="1">
        <f>N25*L25</f>
        <v>0.16195068682773178</v>
      </c>
      <c r="N25" s="1">
        <f>AL9</f>
        <v>0.54153951275078049</v>
      </c>
      <c r="O25" s="1" t="s">
        <v>107</v>
      </c>
      <c r="Q25">
        <f>AD9</f>
        <v>90.457153253768055</v>
      </c>
      <c r="R25" t="s">
        <v>25</v>
      </c>
      <c r="U25" t="s">
        <v>105</v>
      </c>
      <c r="W25">
        <v>7.1561000000000003</v>
      </c>
      <c r="X25">
        <v>1559.55</v>
      </c>
      <c r="Y25">
        <v>228.58199999999999</v>
      </c>
    </row>
    <row r="26" spans="1:29" x14ac:dyDescent="0.25">
      <c r="B26" t="s">
        <v>69</v>
      </c>
      <c r="C26">
        <f>H17</f>
        <v>7.0000000000000007E-2</v>
      </c>
      <c r="D26" s="3" t="s">
        <v>105</v>
      </c>
      <c r="G26" t="s">
        <v>17</v>
      </c>
      <c r="H26">
        <f>H15+H18+H23</f>
        <v>59.954000000000001</v>
      </c>
      <c r="I26" t="s">
        <v>3</v>
      </c>
      <c r="K26" s="3" t="s">
        <v>8</v>
      </c>
      <c r="L26" s="3">
        <f>C26/$H$25</f>
        <v>1.7479898117165262E-3</v>
      </c>
      <c r="M26" s="3">
        <f>N26*L26</f>
        <v>4.2614029807402394E-4</v>
      </c>
      <c r="N26" s="3">
        <f>AM9</f>
        <v>0.24378877680960515</v>
      </c>
      <c r="O26" s="3" t="s">
        <v>105</v>
      </c>
      <c r="Q26">
        <f>Q25+273.15</f>
        <v>363.60715325376805</v>
      </c>
      <c r="R26" t="s">
        <v>26</v>
      </c>
      <c r="U26" t="s">
        <v>108</v>
      </c>
      <c r="W26">
        <v>7.2105899999999998</v>
      </c>
      <c r="X26">
        <v>1743.19</v>
      </c>
      <c r="Y26">
        <v>218.815</v>
      </c>
    </row>
    <row r="27" spans="1:29" x14ac:dyDescent="0.25">
      <c r="B27" t="s">
        <v>76</v>
      </c>
      <c r="C27">
        <f>0</f>
        <v>0</v>
      </c>
      <c r="D27" t="s">
        <v>108</v>
      </c>
      <c r="G27" t="s">
        <v>2</v>
      </c>
      <c r="H27">
        <f>H26+H25</f>
        <v>100</v>
      </c>
      <c r="I27" t="s">
        <v>3</v>
      </c>
      <c r="L27">
        <f>C27/$H$25</f>
        <v>0</v>
      </c>
      <c r="M27">
        <f>N27*L27</f>
        <v>0</v>
      </c>
      <c r="N27">
        <f>AN9</f>
        <v>4.9356906568964902E-2</v>
      </c>
      <c r="O27" t="s">
        <v>108</v>
      </c>
    </row>
    <row r="28" spans="1:29" x14ac:dyDescent="0.25">
      <c r="C28">
        <f>SUM(C23:C27)</f>
        <v>40.045999999999999</v>
      </c>
    </row>
    <row r="30" spans="1:29" x14ac:dyDescent="0.25">
      <c r="C30" t="s">
        <v>22</v>
      </c>
      <c r="L30" t="s">
        <v>19</v>
      </c>
      <c r="M30" t="s">
        <v>28</v>
      </c>
      <c r="N30" t="s">
        <v>30</v>
      </c>
      <c r="Q30" t="s">
        <v>123</v>
      </c>
    </row>
    <row r="31" spans="1:29" x14ac:dyDescent="0.25">
      <c r="B31" t="s">
        <v>77</v>
      </c>
      <c r="C31">
        <f>0</f>
        <v>0</v>
      </c>
      <c r="D31" t="s">
        <v>106</v>
      </c>
      <c r="L31">
        <f>C31/$H$26</f>
        <v>0</v>
      </c>
      <c r="M31">
        <f>L31*N31</f>
        <v>0</v>
      </c>
      <c r="N31">
        <f>AJ10</f>
        <v>5.8744583705216868</v>
      </c>
      <c r="O31" t="s">
        <v>106</v>
      </c>
      <c r="Q31" t="s">
        <v>132</v>
      </c>
    </row>
    <row r="32" spans="1:29" x14ac:dyDescent="0.25">
      <c r="B32" t="s">
        <v>78</v>
      </c>
      <c r="C32">
        <f>0</f>
        <v>0</v>
      </c>
      <c r="D32" t="s">
        <v>60</v>
      </c>
      <c r="L32">
        <f>C32/$H$26</f>
        <v>0</v>
      </c>
      <c r="M32">
        <f>L32*N32</f>
        <v>0</v>
      </c>
      <c r="N32">
        <f>AK10</f>
        <v>5.1338197252467745</v>
      </c>
      <c r="O32" t="s">
        <v>60</v>
      </c>
      <c r="Q32">
        <f>AD10</f>
        <v>149.90441657637456</v>
      </c>
      <c r="R32" t="s">
        <v>25</v>
      </c>
    </row>
    <row r="33" spans="1:24" x14ac:dyDescent="0.25">
      <c r="B33" t="s">
        <v>68</v>
      </c>
      <c r="C33">
        <f>H15</f>
        <v>2.4000000000000909E-2</v>
      </c>
      <c r="D33" s="1" t="s">
        <v>107</v>
      </c>
      <c r="K33" s="1" t="s">
        <v>7</v>
      </c>
      <c r="L33">
        <f>C33/$H$26</f>
        <v>4.0030690195818312E-4</v>
      </c>
      <c r="M33">
        <f>L33*N33</f>
        <v>1.0969803935090307E-3</v>
      </c>
      <c r="N33">
        <f>AL10</f>
        <v>2.740348438018247</v>
      </c>
      <c r="O33" s="1" t="s">
        <v>107</v>
      </c>
      <c r="Q33">
        <f>273.15+Q32</f>
        <v>423.05441657637454</v>
      </c>
      <c r="R33" t="s">
        <v>26</v>
      </c>
    </row>
    <row r="34" spans="1:24" x14ac:dyDescent="0.25">
      <c r="B34" t="s">
        <v>70</v>
      </c>
      <c r="C34">
        <f>H18</f>
        <v>34.93</v>
      </c>
      <c r="D34" s="3" t="s">
        <v>105</v>
      </c>
      <c r="F34">
        <f>C34/($C$34+$C$35)</f>
        <v>0.58284665443016848</v>
      </c>
      <c r="K34" s="3" t="s">
        <v>8</v>
      </c>
      <c r="L34">
        <f>C34/$H$26</f>
        <v>0.58261333689161687</v>
      </c>
      <c r="M34">
        <f>L34*N34</f>
        <v>0.83209764799239538</v>
      </c>
      <c r="N34">
        <f>AM10</f>
        <v>1.4282159286497589</v>
      </c>
      <c r="O34" s="3" t="s">
        <v>105</v>
      </c>
    </row>
    <row r="35" spans="1:24" x14ac:dyDescent="0.25">
      <c r="B35" t="s">
        <v>73</v>
      </c>
      <c r="C35">
        <f>H23</f>
        <v>25</v>
      </c>
      <c r="D35" t="s">
        <v>108</v>
      </c>
      <c r="F35">
        <f>C35/($C$34+$C$35)</f>
        <v>0.41715334556983147</v>
      </c>
      <c r="L35">
        <f>C35/$H$26</f>
        <v>0.41698635620642494</v>
      </c>
      <c r="M35">
        <f>L35*N35</f>
        <v>0.16680537161409567</v>
      </c>
      <c r="N35">
        <f>AN10</f>
        <v>0.40002596999005968</v>
      </c>
      <c r="O35" t="s">
        <v>108</v>
      </c>
    </row>
    <row r="36" spans="1:24" x14ac:dyDescent="0.25">
      <c r="C36">
        <f>SUM(C31:C35)</f>
        <v>59.954000000000001</v>
      </c>
    </row>
    <row r="38" spans="1:24" x14ac:dyDescent="0.25">
      <c r="B38" s="4" t="s">
        <v>136</v>
      </c>
      <c r="C38" s="4"/>
      <c r="D38" s="6" t="s">
        <v>137</v>
      </c>
    </row>
    <row r="39" spans="1:24" x14ac:dyDescent="0.25">
      <c r="A39" t="s">
        <v>109</v>
      </c>
      <c r="C39">
        <f>LN((L25/L26)*(L34/L33))/LN(R42)</f>
        <v>17.140908714896526</v>
      </c>
      <c r="D39" s="6" t="s">
        <v>114</v>
      </c>
      <c r="E39" s="6">
        <f>(L25/L26)*(L34/L33)</f>
        <v>249000.99999999048</v>
      </c>
      <c r="K39" t="s">
        <v>133</v>
      </c>
      <c r="O39" t="s">
        <v>134</v>
      </c>
      <c r="R39" s="1" t="s">
        <v>135</v>
      </c>
      <c r="S39" s="1"/>
      <c r="T39" s="1"/>
    </row>
    <row r="40" spans="1:24" x14ac:dyDescent="0.25">
      <c r="B40" t="s">
        <v>50</v>
      </c>
      <c r="C40">
        <f>C39-1</f>
        <v>16.140908714896526</v>
      </c>
      <c r="K40">
        <f>N23/$N$26</f>
        <v>5.6021644646571431</v>
      </c>
      <c r="L40" t="s">
        <v>106</v>
      </c>
      <c r="O40">
        <f>N31/$N$34</f>
        <v>4.1131444151273566</v>
      </c>
      <c r="P40" t="s">
        <v>106</v>
      </c>
      <c r="Q40" s="2" t="s">
        <v>99</v>
      </c>
      <c r="R40" s="1">
        <f>(K40*O40)^0.5</f>
        <v>4.8002616054158409</v>
      </c>
      <c r="S40" s="1"/>
      <c r="T40" s="1"/>
      <c r="W40" t="s">
        <v>103</v>
      </c>
      <c r="X40" t="s">
        <v>38</v>
      </c>
    </row>
    <row r="41" spans="1:24" x14ac:dyDescent="0.25">
      <c r="B41" s="4" t="s">
        <v>138</v>
      </c>
      <c r="C41" s="4"/>
      <c r="K41">
        <f t="shared" ref="K41:K44" si="3">N24/$N$26</f>
        <v>3.1936199303817556</v>
      </c>
      <c r="L41" t="s">
        <v>60</v>
      </c>
      <c r="O41">
        <f t="shared" ref="O41:O44" si="4">N32/$N$34</f>
        <v>3.5945683158010349</v>
      </c>
      <c r="P41" t="s">
        <v>60</v>
      </c>
      <c r="Q41" s="2" t="s">
        <v>100</v>
      </c>
      <c r="R41" s="1">
        <f t="shared" ref="R41:R44" si="5">(K41*O41)^0.5</f>
        <v>3.3881683863794265</v>
      </c>
      <c r="S41" s="1"/>
      <c r="T41" s="1"/>
      <c r="W41">
        <f>($R$40*$C$8/($R$40-X41)+$R$41*$C$9/($R$41-X41)+$R$42*$C$10/($R$42-X41)+$R$43*$C$11/($R$43-X41)+$R$44*$C$12/($R$44-X41))+$C$4</f>
        <v>0.90994910663243278</v>
      </c>
      <c r="X41">
        <v>1.28</v>
      </c>
    </row>
    <row r="42" spans="1:24" x14ac:dyDescent="0.25">
      <c r="A42" t="s">
        <v>39</v>
      </c>
      <c r="B42">
        <f>(R40*C8/(R40-$E$42)+R41*C9/(R41-$E$42)+R42*C10/(R42-$E$42)+R43*C11/(R43-$E$42)+R44*C12/(R44-$E$42))+C4</f>
        <v>1.0000027858471654</v>
      </c>
      <c r="D42" t="s">
        <v>38</v>
      </c>
      <c r="E42">
        <v>1.2988040000000001</v>
      </c>
      <c r="G42">
        <f>R40*C8/(R40-$E$42)</f>
        <v>0.27418647582601541</v>
      </c>
      <c r="K42">
        <f t="shared" si="3"/>
        <v>2.2213471835650318</v>
      </c>
      <c r="L42" s="1" t="s">
        <v>107</v>
      </c>
      <c r="O42">
        <f t="shared" si="4"/>
        <v>1.9187213803230605</v>
      </c>
      <c r="P42" s="1" t="s">
        <v>107</v>
      </c>
      <c r="Q42" s="2" t="s">
        <v>101</v>
      </c>
      <c r="R42" s="1">
        <f t="shared" si="5"/>
        <v>2.0644966297445584</v>
      </c>
      <c r="S42" s="5" t="s">
        <v>52</v>
      </c>
      <c r="T42" s="1"/>
      <c r="W42">
        <f t="shared" ref="W42:W60" si="6">($R$40*$C$8/($R$40-X42)+$R$41*$C$9/($R$41-X42)+$R$42*$C$10/($R$42-X42)+$R$43*$C$11/($R$43-X42)+$R$44*$C$12/($R$44-X42))+$C$4</f>
        <v>0.91499386507653946</v>
      </c>
      <c r="X42">
        <f>X41+0.001</f>
        <v>1.2809999999999999</v>
      </c>
    </row>
    <row r="43" spans="1:24" x14ac:dyDescent="0.25">
      <c r="A43" t="s">
        <v>40</v>
      </c>
      <c r="B43">
        <f>(R40*L23/(R40-$E$42)+R41*L24/(R41-$E$42)+R42*L25/(R42-$E$42)+R43*L26/(R43-$E$42)+R44*L27/(R44-$E$42))-1</f>
        <v>0.80911072413295804</v>
      </c>
      <c r="G43">
        <f>R41*C9/(R41-$E$42)</f>
        <v>0.12973010963398851</v>
      </c>
      <c r="K43">
        <f t="shared" si="3"/>
        <v>1</v>
      </c>
      <c r="L43" s="3" t="s">
        <v>105</v>
      </c>
      <c r="O43">
        <f t="shared" si="4"/>
        <v>1</v>
      </c>
      <c r="P43" s="3" t="s">
        <v>105</v>
      </c>
      <c r="Q43" s="2" t="s">
        <v>102</v>
      </c>
      <c r="R43" s="1">
        <f t="shared" si="5"/>
        <v>1</v>
      </c>
      <c r="S43" s="1"/>
      <c r="T43" s="1" t="s">
        <v>31</v>
      </c>
      <c r="W43">
        <f t="shared" si="6"/>
        <v>0.92000810179503079</v>
      </c>
      <c r="X43">
        <f>X42+0.001</f>
        <v>1.2819999999999998</v>
      </c>
    </row>
    <row r="44" spans="1:24" x14ac:dyDescent="0.25">
      <c r="A44" t="s">
        <v>42</v>
      </c>
      <c r="B44">
        <f>C5*B43</f>
        <v>1.0518439413728455</v>
      </c>
      <c r="G44">
        <f>R42*C10/(R42-$E$42)</f>
        <v>0.3235496672496313</v>
      </c>
      <c r="K44">
        <f t="shared" si="3"/>
        <v>0.2024576652579532</v>
      </c>
      <c r="L44" t="s">
        <v>108</v>
      </c>
      <c r="O44">
        <f t="shared" si="4"/>
        <v>0.28008787884633513</v>
      </c>
      <c r="P44" t="s">
        <v>108</v>
      </c>
      <c r="Q44" s="2" t="s">
        <v>51</v>
      </c>
      <c r="R44" s="1">
        <f t="shared" si="5"/>
        <v>0.2381300863357704</v>
      </c>
      <c r="S44" s="1"/>
      <c r="T44" s="1"/>
      <c r="W44">
        <f t="shared" si="6"/>
        <v>0.92499215560502779</v>
      </c>
      <c r="X44">
        <f t="shared" ref="X44:X60" si="7">X43+0.001</f>
        <v>1.2829999999999997</v>
      </c>
    </row>
    <row r="45" spans="1:24" x14ac:dyDescent="0.25">
      <c r="G45">
        <f>R43*C11/(R43-$E$42)</f>
        <v>-1.1713363944257771</v>
      </c>
      <c r="W45">
        <f t="shared" si="6"/>
        <v>0.92994636063253</v>
      </c>
      <c r="X45">
        <f t="shared" si="7"/>
        <v>1.2839999999999996</v>
      </c>
    </row>
    <row r="46" spans="1:24" x14ac:dyDescent="0.25">
      <c r="B46" s="4" t="s">
        <v>139</v>
      </c>
      <c r="C46" s="4"/>
      <c r="D46" s="4"/>
      <c r="G46">
        <f>R44*C12/(R44-$E$42)</f>
        <v>-5.6127072436692745E-2</v>
      </c>
      <c r="W46">
        <f t="shared" si="6"/>
        <v>0.93487104639519103</v>
      </c>
      <c r="X46">
        <f t="shared" si="7"/>
        <v>1.2849999999999995</v>
      </c>
    </row>
    <row r="47" spans="1:24" x14ac:dyDescent="0.25">
      <c r="A47" t="s">
        <v>110</v>
      </c>
      <c r="B47" s="7">
        <f>((0.75*(1-((B44-B43)/(B44+1))^0.5668))+C39)/(1-(0.75*(1-((B44-B43)/(B44+1))^0.5668)))</f>
        <v>37.297733481931601</v>
      </c>
      <c r="C47" s="7"/>
      <c r="D47" s="7">
        <f>ROUNDUP(B47,0)</f>
        <v>38</v>
      </c>
      <c r="E47" s="7" t="s">
        <v>141</v>
      </c>
      <c r="W47">
        <f t="shared" si="6"/>
        <v>0.93976653788336162</v>
      </c>
      <c r="X47">
        <f t="shared" si="7"/>
        <v>1.2859999999999994</v>
      </c>
    </row>
    <row r="48" spans="1:24" x14ac:dyDescent="0.25">
      <c r="B48" s="4" t="s">
        <v>140</v>
      </c>
      <c r="C48" s="4"/>
      <c r="D48" s="4"/>
      <c r="G48">
        <f>SUM(G42:G46)+C4</f>
        <v>1.0000027858471654</v>
      </c>
      <c r="W48">
        <f t="shared" si="6"/>
        <v>0.9446331556394405</v>
      </c>
      <c r="X48">
        <f t="shared" si="7"/>
        <v>1.2869999999999993</v>
      </c>
    </row>
    <row r="49" spans="1:24" x14ac:dyDescent="0.25">
      <c r="A49" t="s">
        <v>53</v>
      </c>
      <c r="B49">
        <f>((C11/C10)*((L33/L26)^2)*(H26/H25))^0.206</f>
        <v>0.73812507878894429</v>
      </c>
      <c r="W49">
        <f t="shared" si="6"/>
        <v>0.94947121583557814</v>
      </c>
      <c r="X49">
        <f t="shared" si="7"/>
        <v>1.2879999999999991</v>
      </c>
    </row>
    <row r="50" spans="1:24" x14ac:dyDescent="0.25">
      <c r="A50" t="s">
        <v>54</v>
      </c>
      <c r="B50">
        <f>B49/(1+B49)*B47</f>
        <v>15.839131947961924</v>
      </c>
      <c r="D50" s="7">
        <f>ROUND(B50,0)+1</f>
        <v>17</v>
      </c>
      <c r="E50" s="7" t="s">
        <v>142</v>
      </c>
      <c r="W50">
        <f t="shared" si="6"/>
        <v>0.9542810303497693</v>
      </c>
      <c r="X50">
        <f t="shared" si="7"/>
        <v>1.288999999999999</v>
      </c>
    </row>
    <row r="51" spans="1:24" x14ac:dyDescent="0.25">
      <c r="A51" t="s">
        <v>55</v>
      </c>
      <c r="B51">
        <f>B47-B50</f>
        <v>21.458601533969677</v>
      </c>
      <c r="W51">
        <f t="shared" si="6"/>
        <v>0.95906290684037676</v>
      </c>
      <c r="X51">
        <f t="shared" si="7"/>
        <v>1.2899999999999989</v>
      </c>
    </row>
    <row r="52" spans="1:24" x14ac:dyDescent="0.25">
      <c r="W52">
        <f t="shared" si="6"/>
        <v>0.96381714881912095</v>
      </c>
      <c r="X52">
        <f t="shared" si="7"/>
        <v>1.2909999999999988</v>
      </c>
    </row>
    <row r="53" spans="1:24" x14ac:dyDescent="0.25">
      <c r="A53" s="7"/>
      <c r="W53">
        <f t="shared" si="6"/>
        <v>0.96854405572257463</v>
      </c>
      <c r="X53">
        <f t="shared" si="7"/>
        <v>1.2919999999999987</v>
      </c>
    </row>
    <row r="54" spans="1:24" x14ac:dyDescent="0.25">
      <c r="W54">
        <f t="shared" si="6"/>
        <v>0.97324392298219797</v>
      </c>
      <c r="X54">
        <f t="shared" si="7"/>
        <v>1.2929999999999986</v>
      </c>
    </row>
    <row r="55" spans="1:24" x14ac:dyDescent="0.25">
      <c r="W55">
        <f t="shared" si="6"/>
        <v>0.97791704209294628</v>
      </c>
      <c r="X55">
        <f t="shared" si="7"/>
        <v>1.2939999999999985</v>
      </c>
    </row>
    <row r="56" spans="1:24" x14ac:dyDescent="0.25">
      <c r="W56">
        <f t="shared" si="6"/>
        <v>0.98256370068048859</v>
      </c>
      <c r="X56">
        <f t="shared" si="7"/>
        <v>1.2949999999999984</v>
      </c>
    </row>
    <row r="57" spans="1:24" x14ac:dyDescent="0.25">
      <c r="W57">
        <f t="shared" si="6"/>
        <v>0.98718418256706708</v>
      </c>
      <c r="X57">
        <f t="shared" si="7"/>
        <v>1.2959999999999983</v>
      </c>
    </row>
    <row r="58" spans="1:24" x14ac:dyDescent="0.25">
      <c r="W58">
        <f t="shared" si="6"/>
        <v>0.9917787678360287</v>
      </c>
      <c r="X58">
        <f t="shared" si="7"/>
        <v>1.2969999999999982</v>
      </c>
    </row>
    <row r="59" spans="1:24" x14ac:dyDescent="0.25">
      <c r="W59">
        <f t="shared" si="6"/>
        <v>0.99634773289506384</v>
      </c>
      <c r="X59">
        <f t="shared" si="7"/>
        <v>1.297999999999998</v>
      </c>
    </row>
    <row r="60" spans="1:24" x14ac:dyDescent="0.25">
      <c r="W60">
        <f t="shared" si="6"/>
        <v>1.0008913505381782</v>
      </c>
      <c r="X60">
        <f t="shared" si="7"/>
        <v>1.2989999999999979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E3A3-ED35-418A-8972-F7FA920A6ECC}">
  <dimension ref="B1:H13"/>
  <sheetViews>
    <sheetView workbookViewId="0">
      <selection activeCell="F10" sqref="F10"/>
    </sheetView>
  </sheetViews>
  <sheetFormatPr defaultRowHeight="15" x14ac:dyDescent="0.25"/>
  <sheetData>
    <row r="1" spans="2:8" x14ac:dyDescent="0.25">
      <c r="B1" t="s">
        <v>57</v>
      </c>
    </row>
    <row r="2" spans="2:8" x14ac:dyDescent="0.25">
      <c r="B2" t="s">
        <v>0</v>
      </c>
      <c r="C2">
        <v>1</v>
      </c>
      <c r="D2" t="s">
        <v>1</v>
      </c>
      <c r="F2">
        <f>C2*101.325</f>
        <v>101.325</v>
      </c>
      <c r="G2" t="s">
        <v>45</v>
      </c>
    </row>
    <row r="3" spans="2:8" x14ac:dyDescent="0.25">
      <c r="B3" t="s">
        <v>2</v>
      </c>
      <c r="C3">
        <v>100</v>
      </c>
      <c r="D3" t="s">
        <v>3</v>
      </c>
    </row>
    <row r="4" spans="2:8" x14ac:dyDescent="0.25">
      <c r="B4" t="s">
        <v>4</v>
      </c>
      <c r="C4">
        <v>1.5</v>
      </c>
    </row>
    <row r="5" spans="2:8" x14ac:dyDescent="0.25">
      <c r="B5" t="s">
        <v>5</v>
      </c>
      <c r="C5">
        <v>1.3</v>
      </c>
    </row>
    <row r="7" spans="2:8" x14ac:dyDescent="0.25">
      <c r="C7" t="s">
        <v>6</v>
      </c>
    </row>
    <row r="8" spans="2:8" x14ac:dyDescent="0.25">
      <c r="C8">
        <v>0.2</v>
      </c>
      <c r="D8" t="s">
        <v>106</v>
      </c>
    </row>
    <row r="9" spans="2:8" x14ac:dyDescent="0.25">
      <c r="C9">
        <v>0.08</v>
      </c>
      <c r="D9" t="s">
        <v>60</v>
      </c>
    </row>
    <row r="10" spans="2:8" x14ac:dyDescent="0.25">
      <c r="B10" s="7" t="s">
        <v>7</v>
      </c>
      <c r="C10" s="7">
        <v>0.12</v>
      </c>
      <c r="D10" s="7" t="s">
        <v>107</v>
      </c>
      <c r="E10" s="7"/>
      <c r="F10" s="7" t="s">
        <v>9</v>
      </c>
      <c r="G10" s="7">
        <v>0.998</v>
      </c>
      <c r="H10" s="7" t="s">
        <v>11</v>
      </c>
    </row>
    <row r="11" spans="2:8" x14ac:dyDescent="0.25">
      <c r="B11" s="7" t="s">
        <v>8</v>
      </c>
      <c r="C11" s="7">
        <v>0.35</v>
      </c>
      <c r="D11" s="7" t="s">
        <v>105</v>
      </c>
      <c r="E11" s="7"/>
      <c r="F11" s="7" t="s">
        <v>10</v>
      </c>
      <c r="G11" s="7">
        <v>2E-3</v>
      </c>
      <c r="H11" s="7" t="s">
        <v>113</v>
      </c>
    </row>
    <row r="12" spans="2:8" x14ac:dyDescent="0.25">
      <c r="C12">
        <v>0.25</v>
      </c>
      <c r="D12" t="s">
        <v>108</v>
      </c>
    </row>
    <row r="13" spans="2:8" x14ac:dyDescent="0.25">
      <c r="C13">
        <f>SUM(C8:C12)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F459-9A4E-4DDE-80C2-76D658CA8BC1}">
  <dimension ref="A1:AN61"/>
  <sheetViews>
    <sheetView topLeftCell="A27" zoomScale="110" zoomScaleNormal="110" workbookViewId="0">
      <selection activeCell="B53" sqref="B53"/>
    </sheetView>
  </sheetViews>
  <sheetFormatPr defaultRowHeight="15" x14ac:dyDescent="0.25"/>
  <sheetData>
    <row r="1" spans="2:40" x14ac:dyDescent="0.25">
      <c r="B1" t="s">
        <v>57</v>
      </c>
    </row>
    <row r="2" spans="2:40" x14ac:dyDescent="0.25">
      <c r="B2" t="s">
        <v>0</v>
      </c>
      <c r="C2">
        <v>2</v>
      </c>
      <c r="D2" t="s">
        <v>1</v>
      </c>
      <c r="F2">
        <f>C2*101.325</f>
        <v>202.65</v>
      </c>
      <c r="G2" t="s">
        <v>45</v>
      </c>
    </row>
    <row r="3" spans="2:40" x14ac:dyDescent="0.25">
      <c r="B3" t="s">
        <v>2</v>
      </c>
      <c r="C3">
        <v>136</v>
      </c>
      <c r="D3" t="s">
        <v>3</v>
      </c>
    </row>
    <row r="4" spans="2:40" x14ac:dyDescent="0.25">
      <c r="B4" t="s">
        <v>4</v>
      </c>
      <c r="C4">
        <v>0.8</v>
      </c>
    </row>
    <row r="5" spans="2:40" x14ac:dyDescent="0.25">
      <c r="B5" t="s">
        <v>5</v>
      </c>
      <c r="C5">
        <v>1.3</v>
      </c>
    </row>
    <row r="7" spans="2:40" x14ac:dyDescent="0.25">
      <c r="C7" t="s">
        <v>6</v>
      </c>
    </row>
    <row r="8" spans="2:40" x14ac:dyDescent="0.25">
      <c r="C8">
        <v>0.1</v>
      </c>
      <c r="D8" t="s">
        <v>58</v>
      </c>
      <c r="S8" t="s">
        <v>79</v>
      </c>
      <c r="T8" t="s">
        <v>80</v>
      </c>
      <c r="U8" t="s">
        <v>81</v>
      </c>
      <c r="V8" t="s">
        <v>82</v>
      </c>
      <c r="W8" t="s">
        <v>83</v>
      </c>
      <c r="X8" t="s">
        <v>84</v>
      </c>
      <c r="Y8" t="s">
        <v>85</v>
      </c>
      <c r="Z8" t="s">
        <v>86</v>
      </c>
      <c r="AA8" t="s">
        <v>87</v>
      </c>
      <c r="AB8" t="s">
        <v>88</v>
      </c>
      <c r="AC8" t="s">
        <v>48</v>
      </c>
      <c r="AD8" t="s">
        <v>49</v>
      </c>
      <c r="AE8" t="s">
        <v>89</v>
      </c>
      <c r="AF8" t="s">
        <v>90</v>
      </c>
      <c r="AG8" t="s">
        <v>91</v>
      </c>
      <c r="AH8" t="s">
        <v>92</v>
      </c>
      <c r="AI8" t="s">
        <v>93</v>
      </c>
      <c r="AJ8" t="s">
        <v>94</v>
      </c>
      <c r="AK8" t="s">
        <v>95</v>
      </c>
      <c r="AL8" t="s">
        <v>96</v>
      </c>
      <c r="AM8" t="s">
        <v>97</v>
      </c>
      <c r="AN8" t="s">
        <v>98</v>
      </c>
    </row>
    <row r="9" spans="2:40" x14ac:dyDescent="0.25">
      <c r="C9">
        <v>0.15</v>
      </c>
      <c r="D9" t="s">
        <v>59</v>
      </c>
      <c r="R9" t="s">
        <v>43</v>
      </c>
      <c r="S9">
        <f>L23</f>
        <v>0.14184397163120568</v>
      </c>
      <c r="T9">
        <f>L24</f>
        <v>0.21276595744680851</v>
      </c>
      <c r="U9">
        <f>L25</f>
        <v>0.6028368794326241</v>
      </c>
      <c r="V9">
        <f>L26</f>
        <v>4.2553191489361715E-2</v>
      </c>
      <c r="W9">
        <f>L27</f>
        <v>0</v>
      </c>
      <c r="X9">
        <f t="shared" ref="X9:AB10" si="0">S9*AJ9</f>
        <v>0.29331480158098178</v>
      </c>
      <c r="Y9">
        <f t="shared" si="0"/>
        <v>0.27703095256646909</v>
      </c>
      <c r="Z9">
        <f t="shared" si="0"/>
        <v>0.40385519004416659</v>
      </c>
      <c r="AA9">
        <f t="shared" si="0"/>
        <v>2.5799055808382043E-2</v>
      </c>
      <c r="AB9">
        <f t="shared" si="0"/>
        <v>0</v>
      </c>
      <c r="AC9">
        <f>SUM(X9:AB9)</f>
        <v>0.99999999999999944</v>
      </c>
      <c r="AD9">
        <v>105.4723878038951</v>
      </c>
      <c r="AE9">
        <f>(10^($U$17-($U$18/(AD9+$U$19))))*0.133322</f>
        <v>419.05372400972095</v>
      </c>
      <c r="AF9">
        <f>(10^($W$17-($W$18/(AD9+$W$19))))*0.133322</f>
        <v>263.8595159266963</v>
      </c>
      <c r="AG9">
        <f>(10^($Y$17-($Y$18/(AD9+$Y$19))))*0.133322</f>
        <v>135.76019824712355</v>
      </c>
      <c r="AH9">
        <f>(10^($AA$17-($AA$18/(AD9+$AA$19))))*0.133322</f>
        <v>122.86219849986256</v>
      </c>
      <c r="AI9">
        <f>(10^($AC$17-($AC$18/(AD9+$AC$19))))*0.133322</f>
        <v>66.289481997043353</v>
      </c>
      <c r="AJ9">
        <f>AE9/$V$14</f>
        <v>2.0678693511459212</v>
      </c>
      <c r="AK9">
        <f>AF9/$V$14</f>
        <v>1.3020454770624046</v>
      </c>
      <c r="AL9">
        <f t="shared" ref="AL9:AM9" si="1">AG9/$V$14</f>
        <v>0.66992449172032342</v>
      </c>
      <c r="AM9">
        <f t="shared" si="1"/>
        <v>0.60627781149697779</v>
      </c>
      <c r="AN9">
        <f>AI9/$V$14</f>
        <v>0.32711316060717172</v>
      </c>
    </row>
    <row r="10" spans="2:40" x14ac:dyDescent="0.25">
      <c r="B10" s="1" t="s">
        <v>7</v>
      </c>
      <c r="C10" s="1">
        <v>0.5</v>
      </c>
      <c r="D10" s="1" t="s">
        <v>60</v>
      </c>
      <c r="E10" s="1"/>
      <c r="F10" s="1" t="s">
        <v>9</v>
      </c>
      <c r="G10" s="1">
        <v>0.85</v>
      </c>
      <c r="H10" s="1" t="s">
        <v>11</v>
      </c>
      <c r="I10" s="1"/>
      <c r="J10" s="1"/>
      <c r="R10" t="s">
        <v>44</v>
      </c>
      <c r="S10">
        <f>L31</f>
        <v>0</v>
      </c>
      <c r="T10">
        <f>L32</f>
        <v>0</v>
      </c>
      <c r="U10">
        <f>L33</f>
        <v>0.25423728813559326</v>
      </c>
      <c r="V10">
        <f>L34</f>
        <v>0.57627118644067787</v>
      </c>
      <c r="W10">
        <f>L35</f>
        <v>0.16949152542372881</v>
      </c>
      <c r="X10">
        <f t="shared" si="0"/>
        <v>0</v>
      </c>
      <c r="Y10">
        <f t="shared" si="0"/>
        <v>0</v>
      </c>
      <c r="Z10">
        <f t="shared" si="0"/>
        <v>0.29456271412906898</v>
      </c>
      <c r="AA10">
        <f t="shared" si="0"/>
        <v>0.60693580175572837</v>
      </c>
      <c r="AB10">
        <f t="shared" si="0"/>
        <v>9.8501539826774995E-2</v>
      </c>
      <c r="AC10">
        <f>SUM(X10:AB10)</f>
        <v>1.0000000557115722</v>
      </c>
      <c r="AD10">
        <v>122.20989275482164</v>
      </c>
      <c r="AE10">
        <f>(10^($U$17-($U$18/(AD10+$U$19))))*0.133322</f>
        <v>684.04059662042562</v>
      </c>
      <c r="AF10">
        <f>(10^($W$17-($W$18/(AD10+$W$19))))*0.133322</f>
        <v>442.70107812120148</v>
      </c>
      <c r="AG10">
        <f>(10^($Y$17-($Y$18/(AD10+$Y$19))))*0.133322</f>
        <v>234.79299380513956</v>
      </c>
      <c r="AH10">
        <f>(10^($AA$17-($AA$18/(AD10+$AA$19))))*0.133322</f>
        <v>213.4334374506501</v>
      </c>
      <c r="AI10">
        <f>(10^($AC$17-($AC$18/(AD10+$AC$19))))*0.133322</f>
        <v>117.77188857078615</v>
      </c>
      <c r="AJ10">
        <f>AE10/$V$14</f>
        <v>3.375477900915004</v>
      </c>
      <c r="AK10">
        <f>AF10/$V$14</f>
        <v>2.1845599709903847</v>
      </c>
      <c r="AL10">
        <f>AG10/$V$14</f>
        <v>1.1586133422410045</v>
      </c>
      <c r="AM10">
        <f>AH10/$V$14</f>
        <v>1.053212126576117</v>
      </c>
      <c r="AN10">
        <f>AI10/$V$14</f>
        <v>0.58115908497797253</v>
      </c>
    </row>
    <row r="11" spans="2:40" x14ac:dyDescent="0.25">
      <c r="B11" s="3" t="s">
        <v>8</v>
      </c>
      <c r="C11" s="3">
        <v>0.2</v>
      </c>
      <c r="D11" s="3" t="s">
        <v>61</v>
      </c>
      <c r="E11" s="3"/>
      <c r="F11" s="3" t="s">
        <v>10</v>
      </c>
      <c r="G11" s="3">
        <f>1-G10</f>
        <v>0.15000000000000002</v>
      </c>
      <c r="H11" t="s">
        <v>111</v>
      </c>
    </row>
    <row r="12" spans="2:40" x14ac:dyDescent="0.25">
      <c r="C12">
        <v>0.05</v>
      </c>
      <c r="D12" t="s">
        <v>56</v>
      </c>
    </row>
    <row r="13" spans="2:40" x14ac:dyDescent="0.25">
      <c r="C13">
        <f>SUM(C8:C12)</f>
        <v>1</v>
      </c>
      <c r="V13" t="s">
        <v>0</v>
      </c>
    </row>
    <row r="14" spans="2:40" x14ac:dyDescent="0.25">
      <c r="C14" t="s">
        <v>21</v>
      </c>
      <c r="F14" t="s">
        <v>67</v>
      </c>
      <c r="G14" t="s">
        <v>12</v>
      </c>
      <c r="H14">
        <f>G10*C17</f>
        <v>57.8</v>
      </c>
      <c r="I14" t="s">
        <v>3</v>
      </c>
      <c r="V14">
        <f>101.325*C2</f>
        <v>202.65</v>
      </c>
      <c r="W14" t="s">
        <v>45</v>
      </c>
    </row>
    <row r="15" spans="2:40" x14ac:dyDescent="0.25">
      <c r="B15" t="s">
        <v>62</v>
      </c>
      <c r="C15">
        <f>$C$3*C8</f>
        <v>13.600000000000001</v>
      </c>
      <c r="D15" t="s">
        <v>58</v>
      </c>
      <c r="F15" t="s">
        <v>68</v>
      </c>
      <c r="G15" t="s">
        <v>74</v>
      </c>
      <c r="H15">
        <f>C17-H14</f>
        <v>10.200000000000003</v>
      </c>
      <c r="I15" t="s">
        <v>3</v>
      </c>
    </row>
    <row r="16" spans="2:40" x14ac:dyDescent="0.25">
      <c r="B16" t="s">
        <v>63</v>
      </c>
      <c r="C16">
        <f t="shared" ref="C16:C19" si="2">$C$3*C9</f>
        <v>20.399999999999999</v>
      </c>
      <c r="D16" t="s">
        <v>59</v>
      </c>
      <c r="T16" t="s">
        <v>58</v>
      </c>
      <c r="V16" t="s">
        <v>59</v>
      </c>
      <c r="X16" t="s">
        <v>60</v>
      </c>
      <c r="Z16" t="s">
        <v>61</v>
      </c>
      <c r="AB16" t="s">
        <v>56</v>
      </c>
    </row>
    <row r="17" spans="1:29" x14ac:dyDescent="0.25">
      <c r="A17" s="1" t="s">
        <v>13</v>
      </c>
      <c r="B17" s="1" t="s">
        <v>64</v>
      </c>
      <c r="C17" s="1">
        <f>$C$3*C10</f>
        <v>68</v>
      </c>
      <c r="D17" s="1" t="s">
        <v>60</v>
      </c>
      <c r="F17" t="s">
        <v>69</v>
      </c>
      <c r="G17" t="s">
        <v>15</v>
      </c>
      <c r="H17">
        <f>G11*C18</f>
        <v>4.080000000000001</v>
      </c>
      <c r="I17" t="s">
        <v>3</v>
      </c>
      <c r="T17" t="s">
        <v>46</v>
      </c>
      <c r="U17">
        <v>8.0912600000000001</v>
      </c>
      <c r="V17" t="s">
        <v>46</v>
      </c>
      <c r="W17">
        <v>8.1348400000000005</v>
      </c>
      <c r="X17" t="s">
        <v>46</v>
      </c>
      <c r="Y17">
        <v>7.7737400000000001</v>
      </c>
      <c r="Z17" t="s">
        <v>46</v>
      </c>
      <c r="AA17">
        <v>8.0557300000000005</v>
      </c>
      <c r="AB17" t="s">
        <v>46</v>
      </c>
      <c r="AC17">
        <v>7.6212099999999996</v>
      </c>
    </row>
    <row r="18" spans="1:29" x14ac:dyDescent="0.25">
      <c r="A18" s="3" t="s">
        <v>14</v>
      </c>
      <c r="B18" s="3" t="s">
        <v>65</v>
      </c>
      <c r="C18" s="3">
        <f t="shared" si="2"/>
        <v>27.200000000000003</v>
      </c>
      <c r="D18" s="3" t="s">
        <v>61</v>
      </c>
      <c r="F18" t="s">
        <v>70</v>
      </c>
      <c r="G18" t="s">
        <v>75</v>
      </c>
      <c r="H18">
        <f>C18-H17</f>
        <v>23.12</v>
      </c>
      <c r="I18" t="s">
        <v>3</v>
      </c>
      <c r="M18" t="s">
        <v>31</v>
      </c>
      <c r="T18" t="s">
        <v>17</v>
      </c>
      <c r="U18">
        <v>1582.91</v>
      </c>
      <c r="V18" t="s">
        <v>17</v>
      </c>
      <c r="W18">
        <v>1662.48</v>
      </c>
      <c r="X18" t="s">
        <v>17</v>
      </c>
      <c r="Y18">
        <v>1518.16</v>
      </c>
      <c r="Z18" t="s">
        <v>17</v>
      </c>
      <c r="AA18">
        <v>1723.6424999999999</v>
      </c>
      <c r="AB18" t="s">
        <v>17</v>
      </c>
      <c r="AC18">
        <v>1543.89</v>
      </c>
    </row>
    <row r="19" spans="1:29" x14ac:dyDescent="0.25">
      <c r="B19" t="s">
        <v>66</v>
      </c>
      <c r="C19">
        <f t="shared" si="2"/>
        <v>6.8000000000000007</v>
      </c>
      <c r="D19" t="s">
        <v>56</v>
      </c>
      <c r="T19" t="s">
        <v>47</v>
      </c>
      <c r="U19">
        <v>239.096</v>
      </c>
      <c r="V19" t="s">
        <v>47</v>
      </c>
      <c r="W19">
        <v>238.131</v>
      </c>
      <c r="X19" t="s">
        <v>47</v>
      </c>
      <c r="Y19">
        <v>213.07599999999999</v>
      </c>
      <c r="Z19" t="s">
        <v>47</v>
      </c>
      <c r="AA19">
        <v>233.08</v>
      </c>
      <c r="AB19" t="s">
        <v>47</v>
      </c>
      <c r="AC19">
        <v>208.029</v>
      </c>
    </row>
    <row r="21" spans="1:29" x14ac:dyDescent="0.25">
      <c r="F21" t="s">
        <v>71</v>
      </c>
      <c r="H21">
        <f>C15</f>
        <v>13.600000000000001</v>
      </c>
      <c r="I21" t="s">
        <v>3</v>
      </c>
    </row>
    <row r="22" spans="1:29" x14ac:dyDescent="0.25">
      <c r="C22" t="s">
        <v>20</v>
      </c>
      <c r="F22" t="s">
        <v>72</v>
      </c>
      <c r="H22">
        <f>C16</f>
        <v>20.399999999999999</v>
      </c>
      <c r="I22" t="s">
        <v>3</v>
      </c>
      <c r="L22" t="s">
        <v>18</v>
      </c>
      <c r="M22" t="s">
        <v>27</v>
      </c>
      <c r="N22" t="s">
        <v>29</v>
      </c>
    </row>
    <row r="23" spans="1:29" x14ac:dyDescent="0.25">
      <c r="B23" t="s">
        <v>71</v>
      </c>
      <c r="C23">
        <f>H21</f>
        <v>13.600000000000001</v>
      </c>
      <c r="D23" t="s">
        <v>58</v>
      </c>
      <c r="F23" t="s">
        <v>73</v>
      </c>
      <c r="H23">
        <f>C19</f>
        <v>6.8000000000000007</v>
      </c>
      <c r="I23" t="s">
        <v>3</v>
      </c>
      <c r="L23">
        <f>C23/$H$25</f>
        <v>0.14184397163120568</v>
      </c>
      <c r="M23">
        <f>N23*L23</f>
        <v>0.29331480158098178</v>
      </c>
      <c r="N23">
        <f>AJ9</f>
        <v>2.0678693511459212</v>
      </c>
      <c r="O23" t="s">
        <v>58</v>
      </c>
      <c r="Q23" t="s">
        <v>23</v>
      </c>
    </row>
    <row r="24" spans="1:29" x14ac:dyDescent="0.25">
      <c r="B24" t="s">
        <v>72</v>
      </c>
      <c r="C24">
        <f>H22</f>
        <v>20.399999999999999</v>
      </c>
      <c r="D24" t="s">
        <v>59</v>
      </c>
      <c r="L24">
        <f>C24/$H$25</f>
        <v>0.21276595744680851</v>
      </c>
      <c r="M24">
        <f>N24*L24</f>
        <v>0.27703095256646909</v>
      </c>
      <c r="N24">
        <f>AK9</f>
        <v>1.3020454770624046</v>
      </c>
      <c r="O24" t="s">
        <v>59</v>
      </c>
      <c r="Q24" t="s">
        <v>24</v>
      </c>
    </row>
    <row r="25" spans="1:29" x14ac:dyDescent="0.25">
      <c r="B25" t="s">
        <v>67</v>
      </c>
      <c r="C25">
        <f>H14</f>
        <v>57.8</v>
      </c>
      <c r="D25" s="1" t="s">
        <v>60</v>
      </c>
      <c r="G25" t="s">
        <v>16</v>
      </c>
      <c r="H25">
        <f>H14+H17+H22+H21</f>
        <v>95.88</v>
      </c>
      <c r="I25" t="s">
        <v>3</v>
      </c>
      <c r="K25" s="1" t="s">
        <v>7</v>
      </c>
      <c r="L25" s="1">
        <f>C25/$H$25</f>
        <v>0.6028368794326241</v>
      </c>
      <c r="M25" s="1">
        <f>N25*L25</f>
        <v>0.40385519004416659</v>
      </c>
      <c r="N25" s="1">
        <f>AL9</f>
        <v>0.66992449172032342</v>
      </c>
      <c r="O25" s="1" t="s">
        <v>60</v>
      </c>
      <c r="Q25">
        <f>AD9</f>
        <v>105.4723878038951</v>
      </c>
      <c r="R25" t="s">
        <v>25</v>
      </c>
    </row>
    <row r="26" spans="1:29" x14ac:dyDescent="0.25">
      <c r="B26" t="s">
        <v>69</v>
      </c>
      <c r="C26">
        <f>H17</f>
        <v>4.080000000000001</v>
      </c>
      <c r="D26" s="3" t="s">
        <v>61</v>
      </c>
      <c r="G26" t="s">
        <v>17</v>
      </c>
      <c r="H26">
        <f>H15+H18+H23</f>
        <v>40.120000000000005</v>
      </c>
      <c r="I26" t="s">
        <v>3</v>
      </c>
      <c r="K26" s="3" t="s">
        <v>8</v>
      </c>
      <c r="L26" s="3">
        <f>C26/$H$25</f>
        <v>4.2553191489361715E-2</v>
      </c>
      <c r="M26" s="3">
        <f>N26*L26</f>
        <v>2.5799055808382043E-2</v>
      </c>
      <c r="N26" s="3">
        <f>AM9</f>
        <v>0.60627781149697779</v>
      </c>
      <c r="O26" s="3" t="s">
        <v>61</v>
      </c>
      <c r="Q26">
        <f>Q25+273.15</f>
        <v>378.62238780389509</v>
      </c>
      <c r="R26" t="s">
        <v>26</v>
      </c>
    </row>
    <row r="27" spans="1:29" x14ac:dyDescent="0.25">
      <c r="B27" t="s">
        <v>76</v>
      </c>
      <c r="C27">
        <f>0</f>
        <v>0</v>
      </c>
      <c r="D27" t="s">
        <v>56</v>
      </c>
      <c r="G27" t="s">
        <v>2</v>
      </c>
      <c r="H27">
        <f>H26+H25</f>
        <v>136</v>
      </c>
      <c r="I27" t="s">
        <v>3</v>
      </c>
      <c r="L27">
        <f>C27/$H$25</f>
        <v>0</v>
      </c>
      <c r="M27">
        <f>N27*L27</f>
        <v>0</v>
      </c>
      <c r="N27">
        <f>AN9</f>
        <v>0.32711316060717172</v>
      </c>
      <c r="O27" t="s">
        <v>56</v>
      </c>
    </row>
    <row r="28" spans="1:29" x14ac:dyDescent="0.25">
      <c r="C28">
        <f>SUM(C23:C27)</f>
        <v>95.88</v>
      </c>
    </row>
    <row r="30" spans="1:29" x14ac:dyDescent="0.25">
      <c r="C30" t="s">
        <v>22</v>
      </c>
      <c r="L30" t="s">
        <v>19</v>
      </c>
      <c r="M30" t="s">
        <v>28</v>
      </c>
      <c r="N30" t="s">
        <v>30</v>
      </c>
      <c r="Q30" t="s">
        <v>35</v>
      </c>
    </row>
    <row r="31" spans="1:29" x14ac:dyDescent="0.25">
      <c r="B31" t="s">
        <v>77</v>
      </c>
      <c r="C31">
        <f>0</f>
        <v>0</v>
      </c>
      <c r="D31" t="s">
        <v>58</v>
      </c>
      <c r="L31">
        <f>C31/$H$26</f>
        <v>0</v>
      </c>
      <c r="M31">
        <f>L31*N31</f>
        <v>0</v>
      </c>
      <c r="N31">
        <f>AJ10</f>
        <v>3.375477900915004</v>
      </c>
      <c r="O31" t="s">
        <v>58</v>
      </c>
      <c r="Q31" t="s">
        <v>24</v>
      </c>
    </row>
    <row r="32" spans="1:29" x14ac:dyDescent="0.25">
      <c r="B32" t="s">
        <v>78</v>
      </c>
      <c r="C32">
        <f>0</f>
        <v>0</v>
      </c>
      <c r="D32" t="s">
        <v>59</v>
      </c>
      <c r="L32">
        <f>C32/$H$26</f>
        <v>0</v>
      </c>
      <c r="M32">
        <f>L32*N32</f>
        <v>0</v>
      </c>
      <c r="N32">
        <f>AK10</f>
        <v>2.1845599709903847</v>
      </c>
      <c r="O32" t="s">
        <v>59</v>
      </c>
      <c r="Q32">
        <f>AD10</f>
        <v>122.20989275482164</v>
      </c>
      <c r="R32" t="s">
        <v>25</v>
      </c>
    </row>
    <row r="33" spans="1:24" x14ac:dyDescent="0.25">
      <c r="B33" t="s">
        <v>68</v>
      </c>
      <c r="C33">
        <f>H15</f>
        <v>10.200000000000003</v>
      </c>
      <c r="D33" s="1" t="s">
        <v>60</v>
      </c>
      <c r="K33" s="1" t="s">
        <v>7</v>
      </c>
      <c r="L33">
        <f>C33/$H$26</f>
        <v>0.25423728813559326</v>
      </c>
      <c r="M33">
        <f>L33*N33</f>
        <v>0.29456271412906898</v>
      </c>
      <c r="N33">
        <f>AL10</f>
        <v>1.1586133422410045</v>
      </c>
      <c r="O33" s="1" t="s">
        <v>60</v>
      </c>
      <c r="Q33">
        <f>273.15+Q32</f>
        <v>395.3598927548216</v>
      </c>
      <c r="R33" t="s">
        <v>26</v>
      </c>
    </row>
    <row r="34" spans="1:24" x14ac:dyDescent="0.25">
      <c r="B34" t="s">
        <v>70</v>
      </c>
      <c r="C34">
        <f>H18</f>
        <v>23.12</v>
      </c>
      <c r="D34" s="3" t="s">
        <v>61</v>
      </c>
      <c r="K34" s="3" t="s">
        <v>8</v>
      </c>
      <c r="L34">
        <f>C34/$H$26</f>
        <v>0.57627118644067787</v>
      </c>
      <c r="M34">
        <f>L34*N34</f>
        <v>0.60693580175572837</v>
      </c>
      <c r="N34">
        <f>AM10</f>
        <v>1.053212126576117</v>
      </c>
      <c r="O34" s="3" t="s">
        <v>61</v>
      </c>
    </row>
    <row r="35" spans="1:24" x14ac:dyDescent="0.25">
      <c r="B35" t="s">
        <v>73</v>
      </c>
      <c r="C35">
        <f>H23</f>
        <v>6.8000000000000007</v>
      </c>
      <c r="D35" t="s">
        <v>56</v>
      </c>
      <c r="L35">
        <f>C35/$H$26</f>
        <v>0.16949152542372881</v>
      </c>
      <c r="M35">
        <f>L35*N35</f>
        <v>9.8501539826774995E-2</v>
      </c>
      <c r="N35">
        <f>AN10</f>
        <v>0.58115908497797253</v>
      </c>
      <c r="O35" t="s">
        <v>56</v>
      </c>
    </row>
    <row r="36" spans="1:24" x14ac:dyDescent="0.25">
      <c r="C36">
        <f>SUM(C31:C35)</f>
        <v>40.120000000000005</v>
      </c>
    </row>
    <row r="38" spans="1:24" x14ac:dyDescent="0.25">
      <c r="B38" s="4" t="s">
        <v>36</v>
      </c>
      <c r="C38" s="4"/>
    </row>
    <row r="39" spans="1:24" x14ac:dyDescent="0.25">
      <c r="A39" t="s">
        <v>109</v>
      </c>
      <c r="C39">
        <f>LN((L25/L26)*(L34/L33))/LN(R42)</f>
        <v>35.54402486994173</v>
      </c>
      <c r="K39" t="s">
        <v>32</v>
      </c>
      <c r="O39" t="s">
        <v>33</v>
      </c>
      <c r="R39" s="1" t="s">
        <v>34</v>
      </c>
      <c r="S39" s="1"/>
      <c r="T39" s="1"/>
    </row>
    <row r="40" spans="1:24" x14ac:dyDescent="0.25">
      <c r="B40" t="s">
        <v>50</v>
      </c>
      <c r="C40">
        <f>C39-1</f>
        <v>34.54402486994173</v>
      </c>
      <c r="K40">
        <f>N23/$N$26</f>
        <v>3.4107620498927482</v>
      </c>
      <c r="L40" t="s">
        <v>58</v>
      </c>
      <c r="O40">
        <f>N31/$N$34</f>
        <v>3.2049364185430824</v>
      </c>
      <c r="P40" t="s">
        <v>58</v>
      </c>
      <c r="Q40" s="2" t="s">
        <v>99</v>
      </c>
      <c r="R40" s="1">
        <f>(K40*O40)^0.5</f>
        <v>3.3062479502732289</v>
      </c>
      <c r="S40" s="1"/>
      <c r="T40" s="1"/>
      <c r="W40" t="s">
        <v>103</v>
      </c>
      <c r="X40" t="s">
        <v>38</v>
      </c>
    </row>
    <row r="41" spans="1:24" x14ac:dyDescent="0.25">
      <c r="B41" s="4" t="s">
        <v>37</v>
      </c>
      <c r="C41" s="4"/>
      <c r="K41">
        <f t="shared" ref="K41:K44" si="3">N24/$N$26</f>
        <v>2.1476053590803317</v>
      </c>
      <c r="L41" t="s">
        <v>59</v>
      </c>
      <c r="O41">
        <f t="shared" ref="O41:O44" si="4">N32/$N$34</f>
        <v>2.0741880157534474</v>
      </c>
      <c r="P41" t="s">
        <v>59</v>
      </c>
      <c r="Q41" s="2" t="s">
        <v>100</v>
      </c>
      <c r="R41" s="1">
        <f t="shared" ref="R41:R44" si="5">(K41*O41)^0.5</f>
        <v>2.110577479831599</v>
      </c>
      <c r="S41" s="1"/>
      <c r="T41" s="1"/>
      <c r="W41">
        <f>($R$40*$C$8/($R$40-X41)+$R$41*$C$9/($R$41-X41)+$R$42*$C$10/($R$42-X41)+$R$43*$C$11/($R$43-X41)+$R$44*$C$12/($R$44-X41))+$C$4</f>
        <v>-2.1426561537728865</v>
      </c>
      <c r="X41">
        <v>1.02</v>
      </c>
    </row>
    <row r="42" spans="1:24" x14ac:dyDescent="0.25">
      <c r="A42" t="s">
        <v>39</v>
      </c>
      <c r="B42">
        <f>(R40*C8/(R40-$E$42)+R41*C9/(R41-$E$42)+R42*C10/(R42-$E$42)+R43*C11/(R43-$E$42)+R44*C12/(R44-$E$42))+C4</f>
        <v>0.99999954367609578</v>
      </c>
      <c r="D42" t="s">
        <v>38</v>
      </c>
      <c r="E42">
        <v>1.0268064699999999</v>
      </c>
      <c r="K42">
        <f t="shared" si="3"/>
        <v>1.1049793989098724</v>
      </c>
      <c r="L42" s="1" t="s">
        <v>60</v>
      </c>
      <c r="O42">
        <f t="shared" si="4"/>
        <v>1.1000759609629029</v>
      </c>
      <c r="P42" s="1" t="s">
        <v>60</v>
      </c>
      <c r="Q42" s="2" t="s">
        <v>101</v>
      </c>
      <c r="R42" s="1">
        <f t="shared" si="5"/>
        <v>1.102524953957954</v>
      </c>
      <c r="S42" s="5" t="s">
        <v>52</v>
      </c>
      <c r="T42" s="1"/>
      <c r="W42">
        <f t="shared" ref="W42:W61" si="6">($R$40*$C$8/($R$40-X42)+$R$41*$C$9/($R$41-X42)+$R$42*$C$10/($R$42-X42)+$R$43*$C$11/($R$43-X42)+$R$44*$C$12/($R$44-X42))+$C$4</f>
        <v>-1.5840775077346445</v>
      </c>
      <c r="X42">
        <f>X41+0.001</f>
        <v>1.0209999999999999</v>
      </c>
    </row>
    <row r="43" spans="1:24" x14ac:dyDescent="0.25">
      <c r="A43" t="s">
        <v>40</v>
      </c>
      <c r="B43">
        <f>(R40*L23/(R40-$E$42)+R41*L24/(R41-$E$42)+R42*L25/(R42-$E$42)+R43*L26/(R43-$E$42)+R44*L27/(R44-$E$42))-1</f>
        <v>6.8104789286290011</v>
      </c>
      <c r="K43">
        <f t="shared" si="3"/>
        <v>1</v>
      </c>
      <c r="L43" s="3" t="s">
        <v>61</v>
      </c>
      <c r="O43">
        <f t="shared" si="4"/>
        <v>1</v>
      </c>
      <c r="P43" s="3" t="s">
        <v>61</v>
      </c>
      <c r="Q43" s="2" t="s">
        <v>102</v>
      </c>
      <c r="R43" s="1">
        <f t="shared" si="5"/>
        <v>1</v>
      </c>
      <c r="S43" s="1"/>
      <c r="T43" s="1" t="s">
        <v>31</v>
      </c>
      <c r="W43">
        <f t="shared" si="6"/>
        <v>-1.0667537852105198</v>
      </c>
      <c r="X43">
        <f t="shared" ref="X43:X61" si="7">X42+0.001</f>
        <v>1.0219999999999998</v>
      </c>
    </row>
    <row r="44" spans="1:24" x14ac:dyDescent="0.25">
      <c r="A44" t="s">
        <v>42</v>
      </c>
      <c r="B44">
        <f>C5*B43</f>
        <v>8.8536226072177016</v>
      </c>
      <c r="K44">
        <f t="shared" si="3"/>
        <v>0.53954334861684494</v>
      </c>
      <c r="L44" t="s">
        <v>56</v>
      </c>
      <c r="O44">
        <f t="shared" si="4"/>
        <v>0.55179680361947625</v>
      </c>
      <c r="P44" t="s">
        <v>56</v>
      </c>
      <c r="Q44" s="2" t="s">
        <v>51</v>
      </c>
      <c r="R44" s="1">
        <f t="shared" si="5"/>
        <v>0.54563567990090589</v>
      </c>
      <c r="S44" s="1"/>
      <c r="T44" s="1"/>
      <c r="W44">
        <f t="shared" si="6"/>
        <v>-0.58496168271866789</v>
      </c>
      <c r="X44">
        <f t="shared" si="7"/>
        <v>1.0229999999999997</v>
      </c>
    </row>
    <row r="45" spans="1:24" x14ac:dyDescent="0.25">
      <c r="W45">
        <f t="shared" si="6"/>
        <v>-0.13391507401700253</v>
      </c>
      <c r="X45">
        <f t="shared" si="7"/>
        <v>1.0239999999999996</v>
      </c>
    </row>
    <row r="46" spans="1:24" x14ac:dyDescent="0.25">
      <c r="B46" s="4" t="s">
        <v>41</v>
      </c>
      <c r="C46" s="4"/>
      <c r="D46" s="4"/>
      <c r="W46">
        <f t="shared" si="6"/>
        <v>0.29042345969732186</v>
      </c>
      <c r="X46">
        <f t="shared" si="7"/>
        <v>1.0249999999999995</v>
      </c>
    </row>
    <row r="47" spans="1:24" x14ac:dyDescent="0.25">
      <c r="A47" t="s">
        <v>110</v>
      </c>
      <c r="B47" s="6">
        <f>((0.75*(1-((B44-B43)/(B44+1))^0.5668))+C39)/(1-(0.75*(1-((B44-B43)/(B44+1))^0.5668)))</f>
        <v>64.55619792276643</v>
      </c>
      <c r="W47">
        <f t="shared" si="6"/>
        <v>0.69148768453793052</v>
      </c>
      <c r="X47">
        <f t="shared" si="7"/>
        <v>1.0259999999999994</v>
      </c>
    </row>
    <row r="48" spans="1:24" x14ac:dyDescent="0.25">
      <c r="B48" s="4" t="s">
        <v>104</v>
      </c>
      <c r="C48" s="4"/>
      <c r="D48" s="4"/>
      <c r="W48">
        <f t="shared" si="6"/>
        <v>1.072220616342501</v>
      </c>
      <c r="X48">
        <f t="shared" si="7"/>
        <v>1.0269999999999992</v>
      </c>
    </row>
    <row r="49" spans="1:24" x14ac:dyDescent="0.25">
      <c r="A49" t="s">
        <v>53</v>
      </c>
      <c r="B49">
        <f>((C11/C10)*((L33/L26)^2)*(H26/H25))^0.206</f>
        <v>1.4451710882655238</v>
      </c>
      <c r="W49">
        <f t="shared" si="6"/>
        <v>1.4351633162652009</v>
      </c>
      <c r="X49">
        <f t="shared" si="7"/>
        <v>1.0279999999999991</v>
      </c>
    </row>
    <row r="50" spans="1:24" x14ac:dyDescent="0.25">
      <c r="A50" t="s">
        <v>54</v>
      </c>
      <c r="B50">
        <f>B49/(1+B49)*B47</f>
        <v>38.154692427885408</v>
      </c>
      <c r="D50">
        <f>ROUND(B50,0)+1</f>
        <v>39</v>
      </c>
      <c r="E50" t="s">
        <v>112</v>
      </c>
      <c r="W50">
        <f t="shared" si="6"/>
        <v>1.782525406392333</v>
      </c>
      <c r="X50">
        <f t="shared" si="7"/>
        <v>1.028999999999999</v>
      </c>
    </row>
    <row r="51" spans="1:24" x14ac:dyDescent="0.25">
      <c r="A51" t="s">
        <v>55</v>
      </c>
      <c r="B51">
        <f>B47-B50</f>
        <v>26.401505494881022</v>
      </c>
      <c r="W51">
        <f t="shared" si="6"/>
        <v>2.1162415792484879</v>
      </c>
      <c r="X51">
        <f t="shared" si="7"/>
        <v>1.0299999999999989</v>
      </c>
    </row>
    <row r="52" spans="1:24" x14ac:dyDescent="0.25">
      <c r="W52">
        <f t="shared" si="6"/>
        <v>2.438017273051345</v>
      </c>
      <c r="X52">
        <f t="shared" si="7"/>
        <v>1.0309999999999988</v>
      </c>
    </row>
    <row r="53" spans="1:24" x14ac:dyDescent="0.25">
      <c r="W53">
        <f t="shared" si="6"/>
        <v>2.7493658926184086</v>
      </c>
      <c r="X53">
        <f t="shared" si="7"/>
        <v>1.0319999999999987</v>
      </c>
    </row>
    <row r="54" spans="1:24" x14ac:dyDescent="0.25">
      <c r="W54">
        <f t="shared" si="6"/>
        <v>3.0516393799885533</v>
      </c>
      <c r="X54">
        <f t="shared" si="7"/>
        <v>1.0329999999999986</v>
      </c>
    </row>
    <row r="55" spans="1:24" x14ac:dyDescent="0.25">
      <c r="W55">
        <f t="shared" si="6"/>
        <v>3.3460535155502127</v>
      </c>
      <c r="X55">
        <f t="shared" si="7"/>
        <v>1.0339999999999985</v>
      </c>
    </row>
    <row r="56" spans="1:24" x14ac:dyDescent="0.25">
      <c r="W56">
        <f t="shared" si="6"/>
        <v>3.6337090161952119</v>
      </c>
      <c r="X56">
        <f t="shared" si="7"/>
        <v>1.0349999999999984</v>
      </c>
    </row>
    <row r="57" spans="1:24" x14ac:dyDescent="0.25">
      <c r="W57">
        <f t="shared" si="6"/>
        <v>3.9156092614886138</v>
      </c>
      <c r="X57">
        <f t="shared" si="7"/>
        <v>1.0359999999999983</v>
      </c>
    </row>
    <row r="58" spans="1:24" x14ac:dyDescent="0.25">
      <c r="W58">
        <f t="shared" si="6"/>
        <v>4.1926753008041517</v>
      </c>
      <c r="X58">
        <f t="shared" si="7"/>
        <v>1.0369999999999981</v>
      </c>
    </row>
    <row r="59" spans="1:24" x14ac:dyDescent="0.25">
      <c r="W59">
        <f t="shared" si="6"/>
        <v>4.4657586587233489</v>
      </c>
      <c r="X59">
        <f t="shared" si="7"/>
        <v>1.037999999999998</v>
      </c>
    </row>
    <row r="60" spans="1:24" x14ac:dyDescent="0.25">
      <c r="W60">
        <f t="shared" si="6"/>
        <v>4.7356523518992288</v>
      </c>
      <c r="X60">
        <f t="shared" si="7"/>
        <v>1.0389999999999979</v>
      </c>
    </row>
    <row r="61" spans="1:24" x14ac:dyDescent="0.25">
      <c r="W61">
        <f t="shared" si="6"/>
        <v>5.0031004501931005</v>
      </c>
      <c r="X61">
        <f t="shared" si="7"/>
        <v>1.0399999999999978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FUG mezcla 5</vt:lpstr>
      <vt:lpstr>Sheet1</vt:lpstr>
      <vt:lpstr>FUG Alcoholes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Romero Limones</dc:creator>
  <cp:lastModifiedBy>Alejandro Romero Limones</cp:lastModifiedBy>
  <dcterms:created xsi:type="dcterms:W3CDTF">2025-03-19T16:32:28Z</dcterms:created>
  <dcterms:modified xsi:type="dcterms:W3CDTF">2026-10-28T20:22:18Z</dcterms:modified>
</cp:coreProperties>
</file>
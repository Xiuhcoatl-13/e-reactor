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todo integral" sheetId="1" state="visible" r:id="rId3"/>
    <sheet name="Teorí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CA a t = 0 se usa como CA0 en todas las fórmulas.</t>
        </r>
      </text>
    </comment>
  </commentList>
</comments>
</file>

<file path=xl/sharedStrings.xml><?xml version="1.0" encoding="utf-8"?>
<sst xmlns="http://schemas.openxmlformats.org/spreadsheetml/2006/main" count="58" uniqueCount="54">
  <si>
    <t xml:space="preserve">Análisis de datos cinéticos: método integral</t>
  </si>
  <si>
    <t xml:space="preserve">Reacción A → productos en un reactor por lotes a volumen constante. Datos de ejemplo (sintéticos).</t>
  </si>
  <si>
    <t xml:space="preserve">Cómo usarla: reemplaza las celdas en AZUL (t y CA) con tus datos; todo lo demás se recalcula solo.</t>
  </si>
  <si>
    <t xml:space="preserve">CA0 [mol/L]</t>
  </si>
  <si>
    <t xml:space="preserve">← se toma del primer dato (t = 0)</t>
  </si>
  <si>
    <t xml:space="preserve">t [min]</t>
  </si>
  <si>
    <t xml:space="preserve">CA [mol/L]</t>
  </si>
  <si>
    <t xml:space="preserve">Orden 0: CA0 − CA</t>
  </si>
  <si>
    <t xml:space="preserve">Orden 1: ln(CA0/CA)</t>
  </si>
  <si>
    <t xml:space="preserve">Orden 2: 1/CA</t>
  </si>
  <si>
    <t xml:space="preserve">Ajuste lineal de cada modelo contra t   (y = m·t + b)</t>
  </si>
  <si>
    <t xml:space="preserve">Modelo</t>
  </si>
  <si>
    <t xml:space="preserve">Pendiente m</t>
  </si>
  <si>
    <t xml:space="preserve">Intercepto b</t>
  </si>
  <si>
    <t xml:space="preserve">R²</t>
  </si>
  <si>
    <t xml:space="preserve">k = m</t>
  </si>
  <si>
    <t xml:space="preserve">Unidades de k</t>
  </si>
  <si>
    <t xml:space="preserve">Orden 0</t>
  </si>
  <si>
    <t xml:space="preserve">mol/(L·min)</t>
  </si>
  <si>
    <t xml:space="preserve">Orden 1</t>
  </si>
  <si>
    <t xml:space="preserve">1/min</t>
  </si>
  <si>
    <t xml:space="preserve">Orden 2</t>
  </si>
  <si>
    <t xml:space="preserve">L/(mol·min)</t>
  </si>
  <si>
    <t xml:space="preserve">Mejor ajuste (mayor R²):</t>
  </si>
  <si>
    <t xml:space="preserve">k estimada:</t>
  </si>
  <si>
    <t xml:space="preserve">Ojo: un R² alto no basta. Revisa también que la gráfica sea una recta sin tendencia curva</t>
  </si>
  <si>
    <t xml:space="preserve">y que el intercepto sea cercano a cero (orden 0 y 1) o a 1/CA0 (orden 2).</t>
  </si>
  <si>
    <t xml:space="preserve">Datos sintéticos generados con orden 2, k = 0.2 L/(mol·min) y ±1 % de ruido.</t>
  </si>
  <si>
    <t xml:space="preserve">Formas integradas de la ley de velocidad (volumen constante)</t>
  </si>
  <si>
    <t xml:space="preserve">Orden</t>
  </si>
  <si>
    <t xml:space="preserve">Ley de velocidad</t>
  </si>
  <si>
    <t xml:space="preserve">Forma integrada</t>
  </si>
  <si>
    <t xml:space="preserve">Graficar contra t</t>
  </si>
  <si>
    <t xml:space="preserve">Pendiente</t>
  </si>
  <si>
    <t xml:space="preserve">Intercepto</t>
  </si>
  <si>
    <t xml:space="preserve">0</t>
  </si>
  <si>
    <t xml:space="preserve">−rA = k</t>
  </si>
  <si>
    <t xml:space="preserve">CA = CA0 − k·t</t>
  </si>
  <si>
    <t xml:space="preserve">CA0 − CA</t>
  </si>
  <si>
    <t xml:space="preserve">k</t>
  </si>
  <si>
    <t xml:space="preserve">1</t>
  </si>
  <si>
    <t xml:space="preserve">−rA = k·CA</t>
  </si>
  <si>
    <t xml:space="preserve">ln(CA0/CA) = k·t</t>
  </si>
  <si>
    <t xml:space="preserve">ln(CA0/CA)</t>
  </si>
  <si>
    <t xml:space="preserve">2</t>
  </si>
  <si>
    <t xml:space="preserve">−rA = k·CA²</t>
  </si>
  <si>
    <t xml:space="preserve">1/CA = 1/CA0 + k·t</t>
  </si>
  <si>
    <t xml:space="preserve">1/CA</t>
  </si>
  <si>
    <t xml:space="preserve">1/CA0</t>
  </si>
  <si>
    <t xml:space="preserve">Procedimiento del método integral:</t>
  </si>
  <si>
    <t xml:space="preserve">1. Supón un orden de reacción.</t>
  </si>
  <si>
    <t xml:space="preserve">2. Calcula la función de CA que debería ser lineal en t (columna «Graficar contra t»).</t>
  </si>
  <si>
    <t xml:space="preserve">3. Grafica y ajusta una recta. Si los puntos forman una recta, el orden supuesto es correcto.</t>
  </si>
  <si>
    <t xml:space="preserve">4. La pendiente de la recta es la constante de velocidad 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</si>
</sst>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"/>
    <numFmt numFmtId="167" formatCode="0.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263F"/>
      <name val="Arial"/>
      <family val="0"/>
      <charset val="1"/>
    </font>
    <font>
      <sz val="11"/>
      <color rgb="FF667085"/>
      <name val="Arial"/>
      <family val="0"/>
      <charset val="1"/>
    </font>
    <font>
      <i val="true"/>
      <sz val="11"/>
      <color rgb="FF66708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0263F"/>
      <name val="Arial"/>
      <family val="0"/>
      <charset val="1"/>
    </font>
    <font>
      <i val="true"/>
      <sz val="9"/>
      <color rgb="FF667085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0263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ECE3"/>
        <bgColor rgb="FFE8F0FF"/>
      </patternFill>
    </fill>
    <fill>
      <patternFill patternType="solid">
        <fgColor rgb="FFE8F0FF"/>
        <bgColor rgb="FFF0ECE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F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9BFAE"/>
      <rgbColor rgb="FF878787"/>
      <rgbColor rgb="FF9999FF"/>
      <rgbColor rgb="FF993366"/>
      <rgbColor rgb="FFF0EC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026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Orden 0: CA0 − CA vs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"Orden 0"</c:f>
              <c:strCache>
                <c:ptCount val="1"/>
                <c:pt idx="0">
                  <c:v>Orden 0</c:v>
                </c:pt>
              </c:strCache>
            </c:strRef>
          </c:tx>
          <c:spPr>
            <a:solidFill>
              <a:srgbClr val="0f766e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'Método integral'!$A$8:$A$18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</c:numCache>
            </c:numRef>
          </c:xVal>
          <c:yVal>
            <c:numRef>
              <c:f>'Método integral'!$C$8:$C$18</c:f>
              <c:numCache>
                <c:formatCode>0.0000</c:formatCode>
                <c:ptCount val="11"/>
                <c:pt idx="0">
                  <c:v>0</c:v>
                </c:pt>
                <c:pt idx="1">
                  <c:v>0.08</c:v>
                </c:pt>
                <c:pt idx="2">
                  <c:v>0.145</c:v>
                </c:pt>
                <c:pt idx="3">
                  <c:v>0.1859</c:v>
                </c:pt>
                <c:pt idx="4">
                  <c:v>0.2247</c:v>
                </c:pt>
                <c:pt idx="5">
                  <c:v>0.249</c:v>
                </c:pt>
                <c:pt idx="6">
                  <c:v>0.2986</c:v>
                </c:pt>
                <c:pt idx="7">
                  <c:v>0.3342</c:v>
                </c:pt>
                <c:pt idx="8">
                  <c:v>0.3563</c:v>
                </c:pt>
                <c:pt idx="9">
                  <c:v>0.376</c:v>
                </c:pt>
                <c:pt idx="10">
                  <c:v>0.3995</c:v>
                </c:pt>
              </c:numCache>
            </c:numRef>
          </c:yVal>
          <c:smooth val="1"/>
        </c:ser>
        <c:axId val="43176933"/>
        <c:axId val="10485273"/>
      </c:scatterChart>
      <c:valAx>
        <c:axId val="431769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85273"/>
        <c:crosses val="autoZero"/>
        <c:crossBetween val="midCat"/>
      </c:valAx>
      <c:valAx>
        <c:axId val="10485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CA0 − 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7693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Orden 1: ln(CA0/CA) vs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"Orden 1"</c:f>
              <c:strCache>
                <c:ptCount val="1"/>
                <c:pt idx="0">
                  <c:v>Orden 1</c:v>
                </c:pt>
              </c:strCache>
            </c:strRef>
          </c:tx>
          <c:spPr>
            <a:solidFill>
              <a:srgbClr val="0f766e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'Método integral'!$A$8:$A$18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</c:numCache>
            </c:numRef>
          </c:xVal>
          <c:yVal>
            <c:numRef>
              <c:f>'Método integral'!$D$8:$D$18</c:f>
              <c:numCache>
                <c:formatCode>0.0000</c:formatCode>
                <c:ptCount val="11"/>
                <c:pt idx="0">
                  <c:v>0</c:v>
                </c:pt>
                <c:pt idx="1">
                  <c:v>0.174353387144778</c:v>
                </c:pt>
                <c:pt idx="2">
                  <c:v>0.342490308946776</c:v>
                </c:pt>
                <c:pt idx="3">
                  <c:v>0.464896691877591</c:v>
                </c:pt>
                <c:pt idx="4">
                  <c:v>0.59674668627363</c:v>
                </c:pt>
                <c:pt idx="5">
                  <c:v>0.689155159290408</c:v>
                </c:pt>
                <c:pt idx="6">
                  <c:v>0.90931511813773</c:v>
                </c:pt>
                <c:pt idx="7">
                  <c:v>1.103825855721</c:v>
                </c:pt>
                <c:pt idx="8">
                  <c:v>1.24688030533721</c:v>
                </c:pt>
                <c:pt idx="9">
                  <c:v>1.39432653281715</c:v>
                </c:pt>
                <c:pt idx="10">
                  <c:v>1.60445037092306</c:v>
                </c:pt>
              </c:numCache>
            </c:numRef>
          </c:yVal>
          <c:smooth val="1"/>
        </c:ser>
        <c:axId val="44707416"/>
        <c:axId val="24673055"/>
      </c:scatterChart>
      <c:valAx>
        <c:axId val="44707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73055"/>
        <c:crosses val="autoZero"/>
        <c:crossBetween val="midCat"/>
      </c:valAx>
      <c:valAx>
        <c:axId val="24673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ln(CA0/CA)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74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Orden 2: 1/CA vs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"Orden 2"</c:f>
              <c:strCache>
                <c:ptCount val="1"/>
                <c:pt idx="0">
                  <c:v>Orden 2</c:v>
                </c:pt>
              </c:strCache>
            </c:strRef>
          </c:tx>
          <c:spPr>
            <a:solidFill>
              <a:srgbClr val="0f766e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'Método integral'!$A$8:$A$18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40</c:v>
                </c:pt>
              </c:numCache>
            </c:numRef>
          </c:xVal>
          <c:yVal>
            <c:numRef>
              <c:f>'Método integral'!$E$8:$E$18</c:f>
              <c:numCache>
                <c:formatCode>0.000</c:formatCode>
                <c:ptCount val="11"/>
                <c:pt idx="0">
                  <c:v>2</c:v>
                </c:pt>
                <c:pt idx="1">
                  <c:v>2.38095238095238</c:v>
                </c:pt>
                <c:pt idx="2">
                  <c:v>2.8169014084507</c:v>
                </c:pt>
                <c:pt idx="3">
                  <c:v>3.18369945877109</c:v>
                </c:pt>
                <c:pt idx="4">
                  <c:v>3.63240101707229</c:v>
                </c:pt>
                <c:pt idx="5">
                  <c:v>3.98406374501992</c:v>
                </c:pt>
                <c:pt idx="6">
                  <c:v>4.96524329692155</c:v>
                </c:pt>
                <c:pt idx="7">
                  <c:v>6.0313630880579</c:v>
                </c:pt>
                <c:pt idx="8">
                  <c:v>6.9589422407794</c:v>
                </c:pt>
                <c:pt idx="9">
                  <c:v>8.06451612903226</c:v>
                </c:pt>
                <c:pt idx="10">
                  <c:v>9.95024875621891</c:v>
                </c:pt>
              </c:numCache>
            </c:numRef>
          </c:yVal>
          <c:smooth val="1"/>
        </c:ser>
        <c:axId val="65905820"/>
        <c:axId val="20108298"/>
      </c:scatterChart>
      <c:valAx>
        <c:axId val="659058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08298"/>
        <c:crosses val="autoZero"/>
        <c:crossBetween val="midCat"/>
      </c:valAx>
      <c:valAx>
        <c:axId val="20108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1/CA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0582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160920</xdr:rowOff>
    </xdr:from>
    <xdr:to>
      <xdr:col>3</xdr:col>
      <xdr:colOff>928800</xdr:colOff>
      <xdr:row>33</xdr:row>
      <xdr:rowOff>13320</xdr:rowOff>
    </xdr:to>
    <xdr:graphicFrame>
      <xdr:nvGraphicFramePr>
        <xdr:cNvPr id="0" name="Chart 1"/>
        <xdr:cNvGraphicFramePr/>
      </xdr:nvGraphicFramePr>
      <xdr:xfrm>
        <a:off x="0" y="400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160920</xdr:rowOff>
    </xdr:from>
    <xdr:to>
      <xdr:col>8</xdr:col>
      <xdr:colOff>787680</xdr:colOff>
      <xdr:row>33</xdr:row>
      <xdr:rowOff>13320</xdr:rowOff>
    </xdr:to>
    <xdr:graphicFrame>
      <xdr:nvGraphicFramePr>
        <xdr:cNvPr id="1" name="Chart 2"/>
        <xdr:cNvGraphicFramePr/>
      </xdr:nvGraphicFramePr>
      <xdr:xfrm>
        <a:off x="4370040" y="400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19</xdr:row>
      <xdr:rowOff>160920</xdr:rowOff>
    </xdr:from>
    <xdr:to>
      <xdr:col>13</xdr:col>
      <xdr:colOff>35280</xdr:colOff>
      <xdr:row>33</xdr:row>
      <xdr:rowOff>13320</xdr:rowOff>
    </xdr:to>
    <xdr:graphicFrame>
      <xdr:nvGraphicFramePr>
        <xdr:cNvPr id="2" name="Chart 3"/>
        <xdr:cNvGraphicFramePr/>
      </xdr:nvGraphicFramePr>
      <xdr:xfrm>
        <a:off x="7542000" y="400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1" min="10" style="0" width="10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n">
        <f aca="false">B8</f>
        <v>0.5</v>
      </c>
      <c r="C5" s="3" t="s">
        <v>4</v>
      </c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G7" s="4" t="s">
        <v>10</v>
      </c>
    </row>
    <row r="8" customFormat="false" ht="15" hidden="false" customHeight="false" outlineLevel="0" collapsed="false">
      <c r="A8" s="7" t="n">
        <v>0</v>
      </c>
      <c r="B8" s="8" t="n">
        <v>0.5</v>
      </c>
      <c r="C8" s="9" t="n">
        <f aca="false">$B$5-B8</f>
        <v>0</v>
      </c>
      <c r="D8" s="9" t="n">
        <f aca="false">LN($B$5/B8)</f>
        <v>0</v>
      </c>
      <c r="E8" s="10" t="n">
        <f aca="false">1/B8</f>
        <v>2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</row>
    <row r="9" customFormat="false" ht="15" hidden="false" customHeight="false" outlineLevel="0" collapsed="false">
      <c r="A9" s="7" t="n">
        <v>2</v>
      </c>
      <c r="B9" s="8" t="n">
        <v>0.42</v>
      </c>
      <c r="C9" s="9" t="n">
        <f aca="false">$B$5-B9</f>
        <v>0.08</v>
      </c>
      <c r="D9" s="9" t="n">
        <f aca="false">LN($B$5/B9)</f>
        <v>0.174353387144778</v>
      </c>
      <c r="E9" s="10" t="n">
        <f aca="false">1/B9</f>
        <v>2.38095238095238</v>
      </c>
      <c r="G9" s="4" t="s">
        <v>17</v>
      </c>
      <c r="H9" s="12" t="n">
        <f aca="false">SLOPE(C8:C18,A8:A18)</f>
        <v>0.00909443829551743</v>
      </c>
      <c r="I9" s="9" t="n">
        <f aca="false">INTERCEPT(C8:C18,A8:A18)</f>
        <v>0.108553624792474</v>
      </c>
      <c r="J9" s="9" t="n">
        <f aca="false">RSQ(C8:C18,A8:A18)</f>
        <v>0.822302524154283</v>
      </c>
      <c r="K9" s="9" t="n">
        <f aca="false">H9</f>
        <v>0.00909443829551743</v>
      </c>
      <c r="L9" s="13" t="s">
        <v>18</v>
      </c>
    </row>
    <row r="10" customFormat="false" ht="15" hidden="false" customHeight="false" outlineLevel="0" collapsed="false">
      <c r="A10" s="7" t="n">
        <v>4</v>
      </c>
      <c r="B10" s="8" t="n">
        <v>0.355</v>
      </c>
      <c r="C10" s="9" t="n">
        <f aca="false">$B$5-B10</f>
        <v>0.145</v>
      </c>
      <c r="D10" s="9" t="n">
        <f aca="false">LN($B$5/B10)</f>
        <v>0.342490308946776</v>
      </c>
      <c r="E10" s="10" t="n">
        <f aca="false">1/B10</f>
        <v>2.8169014084507</v>
      </c>
      <c r="G10" s="4" t="s">
        <v>19</v>
      </c>
      <c r="H10" s="12" t="n">
        <f aca="false">SLOPE(D8:D18,A8:A18)</f>
        <v>0.0395979814503919</v>
      </c>
      <c r="I10" s="9" t="n">
        <f aca="false">INTERCEPT(D8:D18,A8:A18)</f>
        <v>0.199160307673331</v>
      </c>
      <c r="J10" s="9" t="n">
        <f aca="false">RSQ(D8:D18,A8:A18)</f>
        <v>0.952529466008278</v>
      </c>
      <c r="K10" s="9" t="n">
        <f aca="false">H10</f>
        <v>0.0395979814503919</v>
      </c>
      <c r="L10" s="13" t="s">
        <v>20</v>
      </c>
    </row>
    <row r="11" customFormat="false" ht="15" hidden="false" customHeight="false" outlineLevel="0" collapsed="false">
      <c r="A11" s="7" t="n">
        <v>6</v>
      </c>
      <c r="B11" s="8" t="n">
        <v>0.3141</v>
      </c>
      <c r="C11" s="9" t="n">
        <f aca="false">$B$5-B11</f>
        <v>0.1859</v>
      </c>
      <c r="D11" s="9" t="n">
        <f aca="false">LN($B$5/B11)</f>
        <v>0.464896691877591</v>
      </c>
      <c r="E11" s="10" t="n">
        <f aca="false">1/B11</f>
        <v>3.18369945877109</v>
      </c>
      <c r="G11" s="4" t="s">
        <v>21</v>
      </c>
      <c r="H11" s="12" t="n">
        <f aca="false">SLOPE(E8:E18,A8:A18)</f>
        <v>0.199706029417714</v>
      </c>
      <c r="I11" s="9" t="n">
        <f aca="false">INTERCEPT(E8:E18,A8:A18)</f>
        <v>2.0013969831311</v>
      </c>
      <c r="J11" s="9" t="n">
        <f aca="false">RSQ(E8:E18,A8:A18)</f>
        <v>0.999809247145981</v>
      </c>
      <c r="K11" s="9" t="n">
        <f aca="false">H11</f>
        <v>0.199706029417714</v>
      </c>
      <c r="L11" s="13" t="s">
        <v>22</v>
      </c>
    </row>
    <row r="12" customFormat="false" ht="15" hidden="false" customHeight="false" outlineLevel="0" collapsed="false">
      <c r="A12" s="7" t="n">
        <v>8</v>
      </c>
      <c r="B12" s="8" t="n">
        <v>0.2753</v>
      </c>
      <c r="C12" s="9" t="n">
        <f aca="false">$B$5-B12</f>
        <v>0.2247</v>
      </c>
      <c r="D12" s="9" t="n">
        <f aca="false">LN($B$5/B12)</f>
        <v>0.59674668627363</v>
      </c>
      <c r="E12" s="10" t="n">
        <f aca="false">1/B12</f>
        <v>3.63240101707229</v>
      </c>
    </row>
    <row r="13" customFormat="false" ht="15" hidden="false" customHeight="false" outlineLevel="0" collapsed="false">
      <c r="A13" s="7" t="n">
        <v>10</v>
      </c>
      <c r="B13" s="8" t="n">
        <v>0.251</v>
      </c>
      <c r="C13" s="9" t="n">
        <f aca="false">$B$5-B13</f>
        <v>0.249</v>
      </c>
      <c r="D13" s="9" t="n">
        <f aca="false">LN($B$5/B13)</f>
        <v>0.689155159290408</v>
      </c>
      <c r="E13" s="10" t="n">
        <f aca="false">1/B13</f>
        <v>3.98406374501992</v>
      </c>
      <c r="G13" s="4" t="s">
        <v>23</v>
      </c>
      <c r="J13" s="14" t="str">
        <f aca="false">INDEX(G9:G11,MATCH(MAX(J9:J11),J9:J11,0))</f>
        <v>Orden 2</v>
      </c>
    </row>
    <row r="14" customFormat="false" ht="15" hidden="false" customHeight="false" outlineLevel="0" collapsed="false">
      <c r="A14" s="7" t="n">
        <v>15</v>
      </c>
      <c r="B14" s="8" t="n">
        <v>0.2014</v>
      </c>
      <c r="C14" s="9" t="n">
        <f aca="false">$B$5-B14</f>
        <v>0.2986</v>
      </c>
      <c r="D14" s="9" t="n">
        <f aca="false">LN($B$5/B14)</f>
        <v>0.90931511813773</v>
      </c>
      <c r="E14" s="10" t="n">
        <f aca="false">1/B14</f>
        <v>4.96524329692155</v>
      </c>
      <c r="G14" s="4" t="s">
        <v>24</v>
      </c>
      <c r="J14" s="15" t="n">
        <f aca="false">INDEX(K9:K11,MATCH(MAX(J9:J11),J9:J11,0))</f>
        <v>0.199706029417714</v>
      </c>
      <c r="K14" s="14" t="str">
        <f aca="false">INDEX(L9:L11,MATCH(MAX(J9:J11),J9:J11,0))</f>
        <v>L/(mol·min)</v>
      </c>
    </row>
    <row r="15" customFormat="false" ht="15" hidden="false" customHeight="false" outlineLevel="0" collapsed="false">
      <c r="A15" s="7" t="n">
        <v>20</v>
      </c>
      <c r="B15" s="8" t="n">
        <v>0.1658</v>
      </c>
      <c r="C15" s="9" t="n">
        <f aca="false">$B$5-B15</f>
        <v>0.3342</v>
      </c>
      <c r="D15" s="9" t="n">
        <f aca="false">LN($B$5/B15)</f>
        <v>1.103825855721</v>
      </c>
      <c r="E15" s="10" t="n">
        <f aca="false">1/B15</f>
        <v>6.0313630880579</v>
      </c>
    </row>
    <row r="16" customFormat="false" ht="15" hidden="false" customHeight="false" outlineLevel="0" collapsed="false">
      <c r="A16" s="7" t="n">
        <v>25</v>
      </c>
      <c r="B16" s="8" t="n">
        <v>0.1437</v>
      </c>
      <c r="C16" s="9" t="n">
        <f aca="false">$B$5-B16</f>
        <v>0.3563</v>
      </c>
      <c r="D16" s="9" t="n">
        <f aca="false">LN($B$5/B16)</f>
        <v>1.24688030533721</v>
      </c>
      <c r="E16" s="10" t="n">
        <f aca="false">1/B16</f>
        <v>6.9589422407794</v>
      </c>
      <c r="G16" s="3" t="s">
        <v>25</v>
      </c>
    </row>
    <row r="17" customFormat="false" ht="15" hidden="false" customHeight="false" outlineLevel="0" collapsed="false">
      <c r="A17" s="7" t="n">
        <v>30</v>
      </c>
      <c r="B17" s="8" t="n">
        <v>0.124</v>
      </c>
      <c r="C17" s="9" t="n">
        <f aca="false">$B$5-B17</f>
        <v>0.376</v>
      </c>
      <c r="D17" s="9" t="n">
        <f aca="false">LN($B$5/B17)</f>
        <v>1.39432653281715</v>
      </c>
      <c r="E17" s="10" t="n">
        <f aca="false">1/B17</f>
        <v>8.06451612903226</v>
      </c>
      <c r="G17" s="3" t="s">
        <v>26</v>
      </c>
    </row>
    <row r="18" customFormat="false" ht="15" hidden="false" customHeight="false" outlineLevel="0" collapsed="false">
      <c r="A18" s="7" t="n">
        <v>40</v>
      </c>
      <c r="B18" s="8" t="n">
        <v>0.1005</v>
      </c>
      <c r="C18" s="9" t="n">
        <f aca="false">$B$5-B18</f>
        <v>0.3995</v>
      </c>
      <c r="D18" s="9" t="n">
        <f aca="false">LN($B$5/B18)</f>
        <v>1.60445037092306</v>
      </c>
      <c r="E18" s="10" t="n">
        <f aca="false">1/B18</f>
        <v>9.95024875621891</v>
      </c>
      <c r="G18" s="1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1"/>
  </cols>
  <sheetData>
    <row r="1" customFormat="false" ht="16.15" hidden="false" customHeight="false" outlineLevel="0" collapsed="false">
      <c r="A1" s="17" t="s">
        <v>28</v>
      </c>
    </row>
    <row r="3" customFormat="false" ht="15" hidden="false" customHeight="false" outlineLevel="0" collapsed="false">
      <c r="A3" s="18" t="s">
        <v>29</v>
      </c>
      <c r="B3" s="18" t="s">
        <v>30</v>
      </c>
      <c r="C3" s="18" t="s">
        <v>31</v>
      </c>
      <c r="D3" s="18" t="s">
        <v>32</v>
      </c>
      <c r="E3" s="18" t="s">
        <v>33</v>
      </c>
      <c r="F3" s="18" t="s">
        <v>34</v>
      </c>
    </row>
    <row r="4" customFormat="false" ht="15" hidden="false" customHeight="false" outlineLevel="0" collapsed="false">
      <c r="A4" s="19" t="s">
        <v>35</v>
      </c>
      <c r="B4" s="19" t="s">
        <v>36</v>
      </c>
      <c r="C4" s="19" t="s">
        <v>37</v>
      </c>
      <c r="D4" s="19" t="s">
        <v>38</v>
      </c>
      <c r="E4" s="19" t="s">
        <v>39</v>
      </c>
      <c r="F4" s="19" t="s">
        <v>35</v>
      </c>
    </row>
    <row r="5" customFormat="false" ht="15" hidden="false" customHeight="false" outlineLevel="0" collapsed="false">
      <c r="A5" s="19" t="s">
        <v>40</v>
      </c>
      <c r="B5" s="19" t="s">
        <v>41</v>
      </c>
      <c r="C5" s="19" t="s">
        <v>42</v>
      </c>
      <c r="D5" s="19" t="s">
        <v>43</v>
      </c>
      <c r="E5" s="19" t="s">
        <v>39</v>
      </c>
      <c r="F5" s="19" t="s">
        <v>35</v>
      </c>
    </row>
    <row r="6" customFormat="false" ht="15" hidden="false" customHeight="false" outlineLevel="0" collapsed="false">
      <c r="A6" s="19" t="s">
        <v>44</v>
      </c>
      <c r="B6" s="19" t="s">
        <v>45</v>
      </c>
      <c r="C6" s="19" t="s">
        <v>46</v>
      </c>
      <c r="D6" s="19" t="s">
        <v>47</v>
      </c>
      <c r="E6" s="19" t="s">
        <v>39</v>
      </c>
      <c r="F6" s="19" t="s">
        <v>48</v>
      </c>
    </row>
    <row r="9" customFormat="false" ht="15" hidden="false" customHeight="false" outlineLevel="0" collapsed="false">
      <c r="A9" s="4" t="s">
        <v>49</v>
      </c>
    </row>
    <row r="10" customFormat="false" ht="15" hidden="false" customHeight="false" outlineLevel="0" collapsed="false">
      <c r="A10" s="13" t="s">
        <v>50</v>
      </c>
    </row>
    <row r="11" customFormat="false" ht="15" hidden="false" customHeight="false" outlineLevel="0" collapsed="false">
      <c r="A11" s="13" t="s">
        <v>51</v>
      </c>
    </row>
    <row r="12" customFormat="false" ht="15" hidden="false" customHeight="false" outlineLevel="0" collapsed="false">
      <c r="A12" s="13" t="s">
        <v>52</v>
      </c>
    </row>
    <row r="13" customFormat="false" ht="15" hidden="false" customHeight="false" outlineLevel="0" collapsed="false">
      <c r="A13" s="1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2026-10-21T22:05:00Z</dcterms:created>
  <dc:creator>openpyxl</dc:creator>
  <dc:description/>
  <dc:language>en-US</dc:language>
  <cp:lastModifiedBy/>
  <dcterms:modified xsi:type="dcterms:W3CDTF">2026-10-21T16:05:01Z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